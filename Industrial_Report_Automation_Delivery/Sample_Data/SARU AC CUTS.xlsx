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8132CB51-F953-45D3-98B0-0E6966B4DA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2" l="1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N5" i="2"/>
  <c r="M5" i="2"/>
  <c r="J6" i="2"/>
  <c r="I6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L5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K6" i="2"/>
  <c r="K5" i="2"/>
  <c r="B11" i="2"/>
  <c r="B12" i="2"/>
  <c r="B10" i="2"/>
  <c r="B9" i="2"/>
  <c r="B8" i="2"/>
  <c r="B7" i="2"/>
  <c r="B6" i="2"/>
  <c r="B19" i="1"/>
  <c r="B18" i="1"/>
  <c r="B17" i="1"/>
  <c r="B16" i="1"/>
  <c r="B14" i="1"/>
  <c r="B13" i="1"/>
  <c r="B12" i="1"/>
  <c r="B11" i="1"/>
  <c r="B6" i="1"/>
</calcChain>
</file>

<file path=xl/sharedStrings.xml><?xml version="1.0" encoding="utf-8"?>
<sst xmlns="http://schemas.openxmlformats.org/spreadsheetml/2006/main" count="431" uniqueCount="123">
  <si>
    <t>DATE</t>
  </si>
  <si>
    <t>TIME</t>
  </si>
  <si>
    <t>6.00  -  14.00</t>
  </si>
  <si>
    <t>22.00 -   6.00</t>
  </si>
  <si>
    <t>SHIFT</t>
  </si>
  <si>
    <t>I</t>
  </si>
  <si>
    <t>II</t>
  </si>
  <si>
    <t>III</t>
  </si>
  <si>
    <t>CUTS</t>
  </si>
  <si>
    <t>D Cuts</t>
  </si>
  <si>
    <t>F Cuts</t>
  </si>
  <si>
    <t>P Cuts</t>
  </si>
  <si>
    <t>NSTL</t>
  </si>
  <si>
    <t>OFFCount</t>
  </si>
  <si>
    <t>CLUSTER</t>
  </si>
  <si>
    <t>Nep cluster cuts</t>
  </si>
  <si>
    <t>Short Cluster Cuts</t>
  </si>
  <si>
    <t>Long Cluster Cuts</t>
  </si>
  <si>
    <t>Thin Cluster Cuts</t>
  </si>
  <si>
    <t>Foreign Matter</t>
  </si>
  <si>
    <t>Splice</t>
  </si>
  <si>
    <t>Special</t>
  </si>
  <si>
    <t>D Channel</t>
  </si>
  <si>
    <t>Splice Channel</t>
  </si>
  <si>
    <t>Yarn count</t>
  </si>
  <si>
    <t xml:space="preserve">    Off count</t>
  </si>
  <si>
    <t xml:space="preserve">   Short off count</t>
  </si>
  <si>
    <t>Cluster</t>
  </si>
  <si>
    <t>Short cluster</t>
  </si>
  <si>
    <t>Long cluster</t>
  </si>
  <si>
    <t>Thin Cluster</t>
  </si>
  <si>
    <t>Nep Cluster</t>
  </si>
  <si>
    <t>LAB  PACK</t>
  </si>
  <si>
    <t xml:space="preserve"> SFI / D</t>
  </si>
  <si>
    <t>VCV</t>
  </si>
  <si>
    <t>F Cuts  Dark</t>
  </si>
  <si>
    <t>F Cuts  Bright</t>
  </si>
  <si>
    <t>F Cuts Cluster Dark</t>
  </si>
  <si>
    <t>F Cuts  Cluster Bright</t>
  </si>
  <si>
    <t>Splices</t>
  </si>
  <si>
    <t>Splice Repetitions</t>
  </si>
  <si>
    <t>Splice cuts</t>
  </si>
  <si>
    <t>Bunch Cuts</t>
  </si>
  <si>
    <t>Upper Yarn Cuts</t>
  </si>
  <si>
    <t>Yarn Breaks</t>
  </si>
  <si>
    <t>Clearing</t>
  </si>
  <si>
    <t>On</t>
  </si>
  <si>
    <t>N</t>
  </si>
  <si>
    <t>DS</t>
  </si>
  <si>
    <t>LS</t>
  </si>
  <si>
    <t>DL</t>
  </si>
  <si>
    <t>LL</t>
  </si>
  <si>
    <t>-D</t>
  </si>
  <si>
    <t>-L</t>
  </si>
  <si>
    <t>Alaram Limit</t>
  </si>
  <si>
    <t>D Class</t>
  </si>
  <si>
    <t>2.0 cm</t>
  </si>
  <si>
    <t>27 cm</t>
  </si>
  <si>
    <t>Check Length</t>
  </si>
  <si>
    <t>Default Check Length</t>
  </si>
  <si>
    <t>Splice  Class</t>
  </si>
  <si>
    <t>Upper Yarn</t>
  </si>
  <si>
    <t xml:space="preserve"> Monitoring</t>
  </si>
  <si>
    <t>Limit</t>
  </si>
  <si>
    <t>F Configuration</t>
  </si>
  <si>
    <t>Clearing Dark</t>
  </si>
  <si>
    <t>Clearing  Bright</t>
  </si>
  <si>
    <t>Filter Organic</t>
  </si>
  <si>
    <t>Class / Cluster</t>
  </si>
  <si>
    <t>F Cluster Dark</t>
  </si>
  <si>
    <t>Obs Length</t>
  </si>
  <si>
    <t>Faults</t>
  </si>
  <si>
    <t>Act Faults</t>
  </si>
  <si>
    <t>F Cluster Bright</t>
  </si>
  <si>
    <t>+ Dia Diff</t>
  </si>
  <si>
    <t>- Dia Diff</t>
  </si>
  <si>
    <t>Coarse</t>
  </si>
  <si>
    <t>Fine</t>
  </si>
  <si>
    <t>Obs.Length</t>
  </si>
  <si>
    <t>Off Count Cuts +</t>
  </si>
  <si>
    <t>Off Count Cuts -</t>
  </si>
  <si>
    <t>Diameter</t>
  </si>
  <si>
    <t>Length</t>
  </si>
  <si>
    <t>Refrence</t>
  </si>
  <si>
    <t>SFI / D</t>
  </si>
  <si>
    <t>+ Limit</t>
  </si>
  <si>
    <t>- limit</t>
  </si>
  <si>
    <t>SFI / D Cutds +</t>
  </si>
  <si>
    <t>SFI / D Cuts  -</t>
  </si>
  <si>
    <t xml:space="preserve">Difference  SFI / D </t>
  </si>
  <si>
    <t>Variance  Like</t>
  </si>
  <si>
    <t>VCV Cuts +</t>
  </si>
  <si>
    <t>VCV Cuts -</t>
  </si>
  <si>
    <t>Difference  VCV</t>
  </si>
  <si>
    <t>Off</t>
  </si>
  <si>
    <t>Class</t>
  </si>
  <si>
    <t>on</t>
  </si>
  <si>
    <t>80 m</t>
  </si>
  <si>
    <t>10 m</t>
  </si>
  <si>
    <t>6 m</t>
  </si>
  <si>
    <t>1.5 cm</t>
  </si>
  <si>
    <t>3 m</t>
  </si>
  <si>
    <t>15 cm</t>
  </si>
  <si>
    <t xml:space="preserve"> On</t>
  </si>
  <si>
    <t>2 m</t>
  </si>
  <si>
    <t>Floating</t>
  </si>
  <si>
    <t>20 m</t>
  </si>
  <si>
    <t xml:space="preserve">OFF END </t>
  </si>
  <si>
    <t>RHS</t>
  </si>
  <si>
    <t>LHS</t>
  </si>
  <si>
    <t>GEAR  END</t>
  </si>
  <si>
    <t>F CUTS</t>
  </si>
  <si>
    <t>F CLUSTER</t>
  </si>
  <si>
    <t>SFI ./ D</t>
  </si>
  <si>
    <t>VCV CUTS</t>
  </si>
  <si>
    <t>SPLICE  REPITATION</t>
  </si>
  <si>
    <t xml:space="preserve">                     LENGTH</t>
  </si>
  <si>
    <t>U1   RING   FRAME 1 15s SLUB   /   1000 KM+</t>
  </si>
  <si>
    <t>DATE    13.07.2026.</t>
  </si>
  <si>
    <t>SIDE+</t>
  </si>
  <si>
    <t>24.07.26</t>
  </si>
  <si>
    <t>14.00  -  22.00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</si>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</sst>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0" fillId="0" borderId="1" xfId="0" quotePrefix="1" applyBorder="1"/>
    <xf numFmtId="9" fontId="0" fillId="0" borderId="1" xfId="0" applyNumberFormat="1" applyBorder="1" applyAlignment="1">
      <alignment horizontal="center"/>
    </xf>
    <xf numFmtId="0" fontId="0" fillId="0" borderId="2" xfId="0" applyBorder="1"/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/>
    <xf numFmtId="164" fontId="0" fillId="0" borderId="0" xfId="0" applyNumberFormat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3%20T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>
        <row r="7">
          <cell r="A7" t="str">
            <v>Total Cuts</v>
          </cell>
          <cell r="C7" t="str">
            <v>Nep Cuts</v>
          </cell>
          <cell r="G7" t="str">
            <v>OffCount Cuts +</v>
          </cell>
        </row>
        <row r="8">
          <cell r="C8" t="str">
            <v>Short Cuts</v>
          </cell>
          <cell r="G8" t="str">
            <v>OffCount Cuts ‒</v>
          </cell>
        </row>
        <row r="9">
          <cell r="C9" t="str">
            <v>Long Cuts</v>
          </cell>
          <cell r="G9" t="str">
            <v>Short OffCount Cuts +</v>
          </cell>
        </row>
        <row r="10">
          <cell r="C10" t="str">
            <v>Thin Cuts</v>
          </cell>
          <cell r="G10" t="str">
            <v>Short OffCount Cuts ‒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1"/>
  <sheetViews>
    <sheetView tabSelected="1" topLeftCell="A2" workbookViewId="0">
      <selection activeCell="I9" sqref="I9"/>
    </sheetView>
  </sheetViews>
  <sheetFormatPr defaultRowHeight="14.4" x14ac:dyDescent="0.3"/>
  <cols>
    <col min="1" max="1" width="9.109375" style="1"/>
    <col min="2" max="2" width="21.88671875" customWidth="1"/>
    <col min="3" max="3" width="13.109375" style="1" customWidth="1"/>
    <col min="4" max="4" width="14.6640625" style="1" customWidth="1"/>
    <col min="5" max="5" width="15.109375" customWidth="1"/>
  </cols>
  <sheetData>
    <row r="2" spans="1:9" ht="29.25" customHeight="1" x14ac:dyDescent="0.3">
      <c r="B2" s="2" t="s">
        <v>0</v>
      </c>
      <c r="C2" s="3" t="s">
        <v>120</v>
      </c>
      <c r="D2" s="3" t="s">
        <v>120</v>
      </c>
      <c r="E2" s="2" t="s">
        <v>120</v>
      </c>
    </row>
    <row r="3" spans="1:9" ht="21.75" customHeight="1" x14ac:dyDescent="0.3">
      <c r="B3" s="2" t="s">
        <v>1</v>
      </c>
      <c r="C3" s="3" t="s">
        <v>2</v>
      </c>
      <c r="D3" s="3" t="s">
        <v>121</v>
      </c>
      <c r="E3" s="3" t="s">
        <v>3</v>
      </c>
    </row>
    <row r="4" spans="1:9" ht="21" customHeight="1" x14ac:dyDescent="0.3">
      <c r="B4" s="2" t="s">
        <v>4</v>
      </c>
      <c r="C4" s="3" t="s">
        <v>5</v>
      </c>
      <c r="D4" s="3" t="s">
        <v>6</v>
      </c>
      <c r="E4" s="2" t="s">
        <v>7</v>
      </c>
    </row>
    <row r="5" spans="1:9" ht="25.5" customHeight="1" x14ac:dyDescent="0.3">
      <c r="A5" s="16">
        <v>1</v>
      </c>
      <c r="B5" s="4" t="s">
        <v>8</v>
      </c>
      <c r="C5" s="3"/>
      <c r="D5" s="3"/>
      <c r="E5" s="2"/>
    </row>
    <row r="6" spans="1:9" x14ac:dyDescent="0.3">
      <c r="A6" s="16"/>
      <c r="B6" s="2" t="str">
        <f>+[1]Sheet4!A7</f>
        <v>Total Cuts</v>
      </c>
      <c r="C6" s="3">
        <v>42</v>
      </c>
      <c r="D6" s="3">
        <v>43</v>
      </c>
      <c r="E6" s="3">
        <v>41</v>
      </c>
    </row>
    <row r="7" spans="1:9" x14ac:dyDescent="0.3">
      <c r="A7" s="16"/>
      <c r="B7" s="2" t="s">
        <v>9</v>
      </c>
      <c r="C7" s="3">
        <v>42</v>
      </c>
      <c r="D7" s="3">
        <v>42</v>
      </c>
      <c r="E7" s="3">
        <v>41</v>
      </c>
    </row>
    <row r="8" spans="1:9" x14ac:dyDescent="0.3">
      <c r="A8" s="16"/>
      <c r="B8" s="2" t="s">
        <v>10</v>
      </c>
      <c r="C8" s="3">
        <v>0.1</v>
      </c>
      <c r="D8" s="3">
        <v>0.1</v>
      </c>
      <c r="E8" s="3">
        <v>0.1</v>
      </c>
    </row>
    <row r="9" spans="1:9" x14ac:dyDescent="0.3">
      <c r="A9" s="16"/>
      <c r="B9" s="2" t="s">
        <v>11</v>
      </c>
      <c r="C9" s="3">
        <v>0</v>
      </c>
      <c r="D9" s="3">
        <v>0</v>
      </c>
      <c r="E9" s="3">
        <v>0</v>
      </c>
      <c r="I9" t="s">
        <v>122</v>
      </c>
    </row>
    <row r="10" spans="1:9" x14ac:dyDescent="0.3">
      <c r="A10" s="16">
        <v>2</v>
      </c>
      <c r="B10" s="4" t="s">
        <v>12</v>
      </c>
      <c r="C10" s="3"/>
      <c r="D10" s="3"/>
      <c r="E10" s="2"/>
    </row>
    <row r="11" spans="1:9" x14ac:dyDescent="0.3">
      <c r="A11" s="16"/>
      <c r="B11" s="2" t="str">
        <f>+[1]Sheet4!C7</f>
        <v>Nep Cuts</v>
      </c>
      <c r="C11" s="3">
        <v>7</v>
      </c>
      <c r="D11" s="3">
        <v>7</v>
      </c>
      <c r="E11" s="3">
        <v>7</v>
      </c>
    </row>
    <row r="12" spans="1:9" x14ac:dyDescent="0.3">
      <c r="A12" s="16"/>
      <c r="B12" s="2" t="str">
        <f>+[1]Sheet4!C8</f>
        <v>Short Cuts</v>
      </c>
      <c r="C12" s="3">
        <v>15</v>
      </c>
      <c r="D12" s="3">
        <v>14</v>
      </c>
      <c r="E12" s="3">
        <v>5</v>
      </c>
    </row>
    <row r="13" spans="1:9" x14ac:dyDescent="0.3">
      <c r="A13" s="16"/>
      <c r="B13" s="2" t="str">
        <f>+[1]Sheet4!C9</f>
        <v>Long Cuts</v>
      </c>
      <c r="C13" s="3">
        <v>5</v>
      </c>
      <c r="D13" s="3">
        <v>4</v>
      </c>
      <c r="E13" s="3">
        <v>4</v>
      </c>
    </row>
    <row r="14" spans="1:9" x14ac:dyDescent="0.3">
      <c r="A14" s="16"/>
      <c r="B14" s="2" t="str">
        <f>+[1]Sheet4!C10</f>
        <v>Thin Cuts</v>
      </c>
      <c r="C14" s="3">
        <v>3</v>
      </c>
      <c r="D14" s="3">
        <v>3</v>
      </c>
      <c r="E14" s="3">
        <v>4</v>
      </c>
    </row>
    <row r="15" spans="1:9" x14ac:dyDescent="0.3">
      <c r="A15" s="5"/>
      <c r="B15" s="6" t="s">
        <v>13</v>
      </c>
      <c r="C15" s="3"/>
      <c r="D15" s="3"/>
      <c r="E15" s="2"/>
    </row>
    <row r="16" spans="1:9" x14ac:dyDescent="0.3">
      <c r="A16" s="16">
        <v>3</v>
      </c>
      <c r="B16" s="2" t="str">
        <f>+[1]Sheet4!G7</f>
        <v>OffCount Cuts +</v>
      </c>
      <c r="C16" s="3">
        <v>1</v>
      </c>
      <c r="D16" s="3">
        <v>2</v>
      </c>
      <c r="E16" s="3">
        <v>1</v>
      </c>
    </row>
    <row r="17" spans="1:5" x14ac:dyDescent="0.3">
      <c r="A17" s="16"/>
      <c r="B17" s="2" t="str">
        <f>+[1]Sheet4!G8</f>
        <v>OffCount Cuts ‒</v>
      </c>
      <c r="C17" s="3">
        <v>0</v>
      </c>
      <c r="D17" s="3">
        <v>0</v>
      </c>
      <c r="E17" s="3">
        <v>0.1</v>
      </c>
    </row>
    <row r="18" spans="1:5" x14ac:dyDescent="0.3">
      <c r="A18" s="16"/>
      <c r="B18" s="2" t="str">
        <f>+[1]Sheet4!G9</f>
        <v>Short OffCount Cuts +</v>
      </c>
      <c r="C18" s="3">
        <v>6</v>
      </c>
      <c r="D18" s="3">
        <v>8</v>
      </c>
      <c r="E18" s="3">
        <v>6</v>
      </c>
    </row>
    <row r="19" spans="1:5" x14ac:dyDescent="0.3">
      <c r="A19" s="16"/>
      <c r="B19" s="2" t="str">
        <f>+[1]Sheet4!G10</f>
        <v>Short OffCount Cuts ‒</v>
      </c>
      <c r="C19" s="3">
        <v>0.2</v>
      </c>
      <c r="D19" s="3">
        <v>0.1</v>
      </c>
      <c r="E19" s="3">
        <v>2</v>
      </c>
    </row>
    <row r="20" spans="1:5" x14ac:dyDescent="0.3">
      <c r="A20" s="1">
        <v>4</v>
      </c>
      <c r="B20" s="6" t="s">
        <v>14</v>
      </c>
      <c r="C20" s="3"/>
      <c r="D20" s="3"/>
      <c r="E20" s="2"/>
    </row>
    <row r="21" spans="1:5" x14ac:dyDescent="0.3">
      <c r="B21" s="2" t="s">
        <v>15</v>
      </c>
      <c r="C21" s="3">
        <v>2</v>
      </c>
      <c r="D21" s="3">
        <v>2</v>
      </c>
      <c r="E21" s="3">
        <v>1</v>
      </c>
    </row>
    <row r="22" spans="1:5" x14ac:dyDescent="0.3">
      <c r="B22" s="2" t="s">
        <v>16</v>
      </c>
      <c r="C22" s="3">
        <v>1</v>
      </c>
      <c r="D22" s="3">
        <v>3</v>
      </c>
      <c r="E22" s="3">
        <v>0.1</v>
      </c>
    </row>
    <row r="23" spans="1:5" x14ac:dyDescent="0.3">
      <c r="B23" s="2" t="s">
        <v>17</v>
      </c>
      <c r="C23" s="3">
        <v>0</v>
      </c>
      <c r="D23" s="3">
        <v>0</v>
      </c>
      <c r="E23" s="3">
        <v>0</v>
      </c>
    </row>
    <row r="24" spans="1:5" x14ac:dyDescent="0.3">
      <c r="B24" s="2" t="s">
        <v>18</v>
      </c>
      <c r="C24" s="3">
        <v>0</v>
      </c>
      <c r="D24" s="3">
        <v>0</v>
      </c>
      <c r="E24" s="3">
        <v>0.1</v>
      </c>
    </row>
    <row r="25" spans="1:5" x14ac:dyDescent="0.3">
      <c r="A25" s="1">
        <v>5</v>
      </c>
      <c r="B25" s="6" t="s">
        <v>19</v>
      </c>
      <c r="C25" s="3"/>
      <c r="D25" s="3"/>
      <c r="E25" s="2"/>
    </row>
    <row r="26" spans="1:5" x14ac:dyDescent="0.3">
      <c r="B26" s="2" t="s">
        <v>35</v>
      </c>
      <c r="C26" s="3">
        <v>0.1</v>
      </c>
      <c r="D26" s="3">
        <v>0.1</v>
      </c>
      <c r="E26" s="3">
        <v>0.1</v>
      </c>
    </row>
    <row r="27" spans="1:5" x14ac:dyDescent="0.3">
      <c r="B27" s="2" t="s">
        <v>36</v>
      </c>
      <c r="C27" s="3">
        <v>0</v>
      </c>
      <c r="D27" s="3">
        <v>0</v>
      </c>
      <c r="E27" s="3">
        <v>0</v>
      </c>
    </row>
    <row r="28" spans="1:5" x14ac:dyDescent="0.3">
      <c r="B28" s="2" t="s">
        <v>37</v>
      </c>
      <c r="C28" s="3">
        <v>0</v>
      </c>
      <c r="D28" s="3">
        <v>0</v>
      </c>
      <c r="E28" s="3">
        <v>0</v>
      </c>
    </row>
    <row r="29" spans="1:5" x14ac:dyDescent="0.3">
      <c r="B29" s="2" t="s">
        <v>38</v>
      </c>
      <c r="C29" s="3">
        <v>0</v>
      </c>
      <c r="D29" s="3">
        <v>0</v>
      </c>
      <c r="E29" s="3">
        <v>0</v>
      </c>
    </row>
    <row r="30" spans="1:5" x14ac:dyDescent="0.3">
      <c r="A30" s="1">
        <v>6</v>
      </c>
      <c r="B30" s="6" t="s">
        <v>20</v>
      </c>
      <c r="C30" s="3"/>
      <c r="D30" s="3"/>
      <c r="E30" s="2"/>
    </row>
    <row r="31" spans="1:5" x14ac:dyDescent="0.3">
      <c r="B31" s="2" t="s">
        <v>39</v>
      </c>
      <c r="C31" s="3">
        <v>80</v>
      </c>
      <c r="D31" s="3">
        <v>82</v>
      </c>
      <c r="E31" s="3">
        <v>81</v>
      </c>
    </row>
    <row r="32" spans="1:5" x14ac:dyDescent="0.3">
      <c r="B32" s="2" t="s">
        <v>41</v>
      </c>
      <c r="C32" s="3">
        <v>8</v>
      </c>
      <c r="D32" s="3">
        <v>8</v>
      </c>
      <c r="E32" s="3">
        <v>7</v>
      </c>
    </row>
    <row r="33" spans="1:5" x14ac:dyDescent="0.3">
      <c r="B33" s="2" t="s">
        <v>40</v>
      </c>
      <c r="C33" s="3">
        <v>18</v>
      </c>
      <c r="D33" s="3">
        <v>15</v>
      </c>
      <c r="E33" s="3">
        <v>14</v>
      </c>
    </row>
    <row r="34" spans="1:5" x14ac:dyDescent="0.3">
      <c r="A34" s="1">
        <v>7</v>
      </c>
      <c r="B34" s="6" t="s">
        <v>21</v>
      </c>
      <c r="C34" s="3"/>
      <c r="D34" s="3"/>
      <c r="E34" s="2"/>
    </row>
    <row r="35" spans="1:5" x14ac:dyDescent="0.3">
      <c r="B35" s="7" t="s">
        <v>42</v>
      </c>
      <c r="C35" s="3">
        <v>1</v>
      </c>
      <c r="D35" s="3">
        <v>1</v>
      </c>
      <c r="E35" s="3">
        <v>1</v>
      </c>
    </row>
    <row r="36" spans="1:5" x14ac:dyDescent="0.3">
      <c r="B36" s="7" t="s">
        <v>43</v>
      </c>
      <c r="C36" s="3">
        <v>8</v>
      </c>
      <c r="D36" s="3">
        <v>0.2</v>
      </c>
      <c r="E36" s="3">
        <v>0.4</v>
      </c>
    </row>
    <row r="37" spans="1:5" x14ac:dyDescent="0.3">
      <c r="B37" s="2" t="s">
        <v>44</v>
      </c>
      <c r="C37" s="3">
        <v>6</v>
      </c>
      <c r="D37" s="3">
        <v>4</v>
      </c>
      <c r="E37" s="3">
        <v>4</v>
      </c>
    </row>
    <row r="38" spans="1:5" x14ac:dyDescent="0.3">
      <c r="A38" s="1">
        <v>8</v>
      </c>
      <c r="B38" s="6" t="s">
        <v>22</v>
      </c>
      <c r="C38" s="3"/>
      <c r="D38" s="3"/>
      <c r="E38" s="2"/>
    </row>
    <row r="39" spans="1:5" x14ac:dyDescent="0.3">
      <c r="B39" s="2" t="s">
        <v>45</v>
      </c>
      <c r="C39" s="3" t="s">
        <v>46</v>
      </c>
      <c r="D39" s="3" t="s">
        <v>46</v>
      </c>
      <c r="E39" s="3" t="s">
        <v>46</v>
      </c>
    </row>
    <row r="40" spans="1:5" x14ac:dyDescent="0.3">
      <c r="B40" s="2" t="s">
        <v>47</v>
      </c>
      <c r="C40" s="3">
        <v>4.3</v>
      </c>
      <c r="D40" s="3">
        <v>4.3</v>
      </c>
      <c r="E40" s="3">
        <v>4.3</v>
      </c>
    </row>
    <row r="41" spans="1:5" x14ac:dyDescent="0.3">
      <c r="B41" s="2" t="s">
        <v>48</v>
      </c>
      <c r="C41" s="3">
        <v>2.1</v>
      </c>
      <c r="D41" s="3">
        <v>2.1</v>
      </c>
      <c r="E41" s="3">
        <v>2.1</v>
      </c>
    </row>
    <row r="42" spans="1:5" x14ac:dyDescent="0.3">
      <c r="B42" s="2" t="s">
        <v>49</v>
      </c>
      <c r="C42" s="3" t="s">
        <v>56</v>
      </c>
      <c r="D42" s="3" t="s">
        <v>56</v>
      </c>
      <c r="E42" s="3" t="s">
        <v>56</v>
      </c>
    </row>
    <row r="43" spans="1:5" x14ac:dyDescent="0.3">
      <c r="B43" s="2" t="s">
        <v>50</v>
      </c>
      <c r="C43" s="3">
        <v>1.22</v>
      </c>
      <c r="D43" s="3">
        <v>1.22</v>
      </c>
      <c r="E43" s="3">
        <v>1.22</v>
      </c>
    </row>
    <row r="44" spans="1:5" x14ac:dyDescent="0.3">
      <c r="B44" s="2" t="s">
        <v>51</v>
      </c>
      <c r="C44" s="3" t="s">
        <v>57</v>
      </c>
      <c r="D44" s="3" t="s">
        <v>57</v>
      </c>
      <c r="E44" s="3" t="s">
        <v>57</v>
      </c>
    </row>
    <row r="45" spans="1:5" x14ac:dyDescent="0.3">
      <c r="B45" s="8" t="s">
        <v>52</v>
      </c>
      <c r="C45" s="9">
        <v>0.14000000000000001</v>
      </c>
      <c r="D45" s="9">
        <v>0.14000000000000001</v>
      </c>
      <c r="E45" s="9">
        <v>0.14000000000000001</v>
      </c>
    </row>
    <row r="46" spans="1:5" x14ac:dyDescent="0.3">
      <c r="B46" s="8" t="s">
        <v>53</v>
      </c>
      <c r="C46" s="3" t="s">
        <v>57</v>
      </c>
      <c r="D46" s="3" t="s">
        <v>57</v>
      </c>
      <c r="E46" s="3" t="s">
        <v>57</v>
      </c>
    </row>
    <row r="47" spans="1:5" x14ac:dyDescent="0.3">
      <c r="B47" s="2" t="s">
        <v>54</v>
      </c>
      <c r="C47" s="3">
        <v>12</v>
      </c>
      <c r="D47" s="3">
        <v>12</v>
      </c>
      <c r="E47" s="3">
        <v>12</v>
      </c>
    </row>
    <row r="48" spans="1:5" x14ac:dyDescent="0.3">
      <c r="B48" s="6" t="s">
        <v>55</v>
      </c>
      <c r="C48" s="3"/>
      <c r="D48" s="3"/>
      <c r="E48" s="3"/>
    </row>
    <row r="49" spans="1:5" x14ac:dyDescent="0.3">
      <c r="B49" s="2" t="s">
        <v>45</v>
      </c>
      <c r="C49" s="3" t="s">
        <v>46</v>
      </c>
      <c r="D49" s="3" t="s">
        <v>46</v>
      </c>
      <c r="E49" s="3" t="s">
        <v>46</v>
      </c>
    </row>
    <row r="50" spans="1:5" x14ac:dyDescent="0.3">
      <c r="B50" s="2"/>
      <c r="C50" s="3"/>
      <c r="D50" s="3"/>
      <c r="E50" s="3"/>
    </row>
    <row r="51" spans="1:5" x14ac:dyDescent="0.3">
      <c r="A51" s="1">
        <v>9</v>
      </c>
      <c r="B51" s="4" t="s">
        <v>23</v>
      </c>
      <c r="C51" s="3"/>
      <c r="D51" s="3"/>
      <c r="E51" s="3"/>
    </row>
    <row r="52" spans="1:5" x14ac:dyDescent="0.3">
      <c r="B52" s="2" t="s">
        <v>45</v>
      </c>
      <c r="C52" s="3" t="s">
        <v>46</v>
      </c>
      <c r="D52" s="3" t="s">
        <v>46</v>
      </c>
      <c r="E52" s="3" t="s">
        <v>46</v>
      </c>
    </row>
    <row r="53" spans="1:5" x14ac:dyDescent="0.3">
      <c r="B53" s="2" t="s">
        <v>47</v>
      </c>
      <c r="C53" s="3">
        <v>4.3</v>
      </c>
      <c r="D53" s="3">
        <v>4.3</v>
      </c>
      <c r="E53" s="3">
        <v>4.3</v>
      </c>
    </row>
    <row r="54" spans="1:5" x14ac:dyDescent="0.3">
      <c r="B54" s="2" t="s">
        <v>48</v>
      </c>
      <c r="C54" s="3">
        <v>2.1</v>
      </c>
      <c r="D54" s="3">
        <v>2.1</v>
      </c>
      <c r="E54" s="3">
        <v>2.1</v>
      </c>
    </row>
    <row r="55" spans="1:5" x14ac:dyDescent="0.3">
      <c r="B55" s="2" t="s">
        <v>49</v>
      </c>
      <c r="C55" s="3" t="s">
        <v>56</v>
      </c>
      <c r="D55" s="3" t="s">
        <v>56</v>
      </c>
      <c r="E55" s="3" t="s">
        <v>56</v>
      </c>
    </row>
    <row r="56" spans="1:5" x14ac:dyDescent="0.3">
      <c r="B56" s="2" t="s">
        <v>50</v>
      </c>
      <c r="C56" s="3">
        <v>1.22</v>
      </c>
      <c r="D56" s="3">
        <v>1.22</v>
      </c>
      <c r="E56" s="3">
        <v>1.22</v>
      </c>
    </row>
    <row r="57" spans="1:5" x14ac:dyDescent="0.3">
      <c r="B57" s="2" t="s">
        <v>51</v>
      </c>
      <c r="C57" s="3" t="s">
        <v>57</v>
      </c>
      <c r="D57" s="3" t="s">
        <v>57</v>
      </c>
      <c r="E57" s="3" t="s">
        <v>57</v>
      </c>
    </row>
    <row r="58" spans="1:5" x14ac:dyDescent="0.3">
      <c r="B58" s="8" t="s">
        <v>52</v>
      </c>
      <c r="C58" s="9">
        <v>0.14000000000000001</v>
      </c>
      <c r="D58" s="9">
        <v>0.14000000000000001</v>
      </c>
      <c r="E58" s="9">
        <v>0.14000000000000001</v>
      </c>
    </row>
    <row r="59" spans="1:5" x14ac:dyDescent="0.3">
      <c r="B59" s="8" t="s">
        <v>53</v>
      </c>
      <c r="C59" s="3" t="s">
        <v>57</v>
      </c>
      <c r="D59" s="3" t="s">
        <v>57</v>
      </c>
      <c r="E59" s="3" t="s">
        <v>57</v>
      </c>
    </row>
    <row r="60" spans="1:5" x14ac:dyDescent="0.3">
      <c r="B60" s="2" t="s">
        <v>58</v>
      </c>
      <c r="C60" s="3"/>
      <c r="D60" s="3"/>
      <c r="E60" s="3"/>
    </row>
    <row r="61" spans="1:5" x14ac:dyDescent="0.3">
      <c r="B61" s="2" t="s">
        <v>59</v>
      </c>
      <c r="C61" s="3">
        <v>12</v>
      </c>
      <c r="D61" s="3">
        <v>12</v>
      </c>
      <c r="E61" s="3">
        <v>12</v>
      </c>
    </row>
    <row r="62" spans="1:5" x14ac:dyDescent="0.3">
      <c r="B62" s="2" t="s">
        <v>60</v>
      </c>
      <c r="C62" s="3"/>
      <c r="D62" s="3"/>
      <c r="E62" s="3"/>
    </row>
    <row r="63" spans="1:5" x14ac:dyDescent="0.3">
      <c r="B63" s="2" t="s">
        <v>45</v>
      </c>
      <c r="C63" s="3" t="s">
        <v>46</v>
      </c>
      <c r="D63" s="3" t="s">
        <v>46</v>
      </c>
      <c r="E63" s="3" t="s">
        <v>46</v>
      </c>
    </row>
    <row r="64" spans="1:5" x14ac:dyDescent="0.3">
      <c r="B64" s="4" t="s">
        <v>61</v>
      </c>
      <c r="C64" s="3"/>
      <c r="D64" s="3"/>
      <c r="E64" s="3"/>
    </row>
    <row r="65" spans="1:5" x14ac:dyDescent="0.3">
      <c r="B65" s="2" t="s">
        <v>62</v>
      </c>
      <c r="C65" s="3" t="s">
        <v>46</v>
      </c>
      <c r="D65" s="3" t="s">
        <v>46</v>
      </c>
      <c r="E65" s="3" t="s">
        <v>46</v>
      </c>
    </row>
    <row r="66" spans="1:5" x14ac:dyDescent="0.3">
      <c r="B66" s="2" t="s">
        <v>63</v>
      </c>
      <c r="C66" s="3">
        <v>1.6</v>
      </c>
      <c r="D66" s="3">
        <v>1.6</v>
      </c>
      <c r="E66" s="3">
        <v>1.6</v>
      </c>
    </row>
    <row r="67" spans="1:5" x14ac:dyDescent="0.3">
      <c r="A67" s="1">
        <v>10</v>
      </c>
      <c r="B67" s="6" t="s">
        <v>19</v>
      </c>
      <c r="C67" s="3"/>
      <c r="D67" s="3"/>
      <c r="E67" s="3"/>
    </row>
    <row r="68" spans="1:5" x14ac:dyDescent="0.3">
      <c r="B68" s="6" t="s">
        <v>64</v>
      </c>
      <c r="C68" s="3"/>
      <c r="D68" s="3"/>
      <c r="E68" s="3"/>
    </row>
    <row r="69" spans="1:5" x14ac:dyDescent="0.3">
      <c r="B69" s="2" t="s">
        <v>65</v>
      </c>
      <c r="C69" s="3" t="s">
        <v>46</v>
      </c>
      <c r="D69" s="3" t="s">
        <v>46</v>
      </c>
      <c r="E69" s="3" t="s">
        <v>46</v>
      </c>
    </row>
    <row r="70" spans="1:5" x14ac:dyDescent="0.3">
      <c r="B70" s="2" t="s">
        <v>66</v>
      </c>
      <c r="C70" s="3" t="s">
        <v>94</v>
      </c>
      <c r="D70" s="3" t="s">
        <v>94</v>
      </c>
      <c r="E70" s="3" t="s">
        <v>94</v>
      </c>
    </row>
    <row r="71" spans="1:5" x14ac:dyDescent="0.3">
      <c r="B71" s="2" t="s">
        <v>54</v>
      </c>
      <c r="C71" s="3">
        <v>6</v>
      </c>
      <c r="D71" s="3">
        <v>6</v>
      </c>
      <c r="E71" s="3">
        <v>6</v>
      </c>
    </row>
    <row r="72" spans="1:5" x14ac:dyDescent="0.3">
      <c r="B72" s="2" t="s">
        <v>67</v>
      </c>
      <c r="C72" s="3" t="s">
        <v>94</v>
      </c>
      <c r="D72" s="3" t="s">
        <v>94</v>
      </c>
      <c r="E72" s="3" t="s">
        <v>94</v>
      </c>
    </row>
    <row r="73" spans="1:5" x14ac:dyDescent="0.3">
      <c r="B73" s="2" t="s">
        <v>68</v>
      </c>
      <c r="C73" s="3" t="s">
        <v>95</v>
      </c>
      <c r="D73" s="3" t="s">
        <v>95</v>
      </c>
      <c r="E73" s="3" t="s">
        <v>95</v>
      </c>
    </row>
    <row r="74" spans="1:5" x14ac:dyDescent="0.3">
      <c r="B74" s="6" t="s">
        <v>69</v>
      </c>
      <c r="C74" s="3"/>
      <c r="D74" s="3"/>
      <c r="E74" s="3"/>
    </row>
    <row r="75" spans="1:5" x14ac:dyDescent="0.3">
      <c r="B75" s="2" t="s">
        <v>45</v>
      </c>
      <c r="C75" s="3" t="s">
        <v>46</v>
      </c>
      <c r="D75" s="3" t="s">
        <v>46</v>
      </c>
      <c r="E75" s="3" t="s">
        <v>46</v>
      </c>
    </row>
    <row r="76" spans="1:5" x14ac:dyDescent="0.3">
      <c r="B76" s="2" t="s">
        <v>70</v>
      </c>
      <c r="C76" s="3" t="s">
        <v>97</v>
      </c>
      <c r="D76" s="3" t="s">
        <v>97</v>
      </c>
      <c r="E76" s="3" t="s">
        <v>97</v>
      </c>
    </row>
    <row r="77" spans="1:5" x14ac:dyDescent="0.3">
      <c r="B77" s="2" t="s">
        <v>71</v>
      </c>
      <c r="C77" s="3">
        <v>1</v>
      </c>
      <c r="D77" s="3">
        <v>1</v>
      </c>
      <c r="E77" s="3">
        <v>1</v>
      </c>
    </row>
    <row r="78" spans="1:5" x14ac:dyDescent="0.3">
      <c r="B78" s="2" t="s">
        <v>54</v>
      </c>
      <c r="C78" s="3">
        <v>3</v>
      </c>
      <c r="D78" s="3">
        <v>3</v>
      </c>
      <c r="E78" s="3">
        <v>3</v>
      </c>
    </row>
    <row r="79" spans="1:5" x14ac:dyDescent="0.3">
      <c r="B79" s="2" t="s">
        <v>72</v>
      </c>
      <c r="C79" s="3">
        <v>0</v>
      </c>
      <c r="D79" s="3">
        <v>0</v>
      </c>
      <c r="E79" s="3">
        <v>0</v>
      </c>
    </row>
    <row r="80" spans="1:5" x14ac:dyDescent="0.3">
      <c r="B80" s="6" t="s">
        <v>73</v>
      </c>
      <c r="E80" s="1"/>
    </row>
    <row r="81" spans="1:5" x14ac:dyDescent="0.3">
      <c r="B81" s="2" t="s">
        <v>45</v>
      </c>
      <c r="C81" s="3" t="s">
        <v>94</v>
      </c>
      <c r="D81" s="3" t="s">
        <v>94</v>
      </c>
      <c r="E81" s="3" t="s">
        <v>94</v>
      </c>
    </row>
    <row r="82" spans="1:5" x14ac:dyDescent="0.3">
      <c r="B82" s="2" t="s">
        <v>70</v>
      </c>
      <c r="C82" s="3" t="s">
        <v>97</v>
      </c>
      <c r="D82" s="3" t="s">
        <v>97</v>
      </c>
      <c r="E82" s="3" t="s">
        <v>97</v>
      </c>
    </row>
    <row r="83" spans="1:5" x14ac:dyDescent="0.3">
      <c r="B83" s="2" t="s">
        <v>71</v>
      </c>
      <c r="C83" s="3">
        <v>1</v>
      </c>
      <c r="D83" s="3">
        <v>1</v>
      </c>
      <c r="E83" s="3">
        <v>1</v>
      </c>
    </row>
    <row r="84" spans="1:5" x14ac:dyDescent="0.3">
      <c r="B84" s="2" t="s">
        <v>54</v>
      </c>
      <c r="C84" s="3">
        <v>3</v>
      </c>
      <c r="D84" s="3">
        <v>3</v>
      </c>
      <c r="E84" s="3">
        <v>3</v>
      </c>
    </row>
    <row r="85" spans="1:5" x14ac:dyDescent="0.3">
      <c r="B85" s="2" t="s">
        <v>72</v>
      </c>
      <c r="C85" s="3">
        <v>0</v>
      </c>
      <c r="D85" s="3">
        <v>0</v>
      </c>
      <c r="E85" s="3">
        <v>0</v>
      </c>
    </row>
    <row r="86" spans="1:5" x14ac:dyDescent="0.3">
      <c r="A86" s="1">
        <v>11</v>
      </c>
      <c r="B86" s="6" t="s">
        <v>24</v>
      </c>
      <c r="C86" s="3"/>
      <c r="D86" s="3"/>
      <c r="E86" s="3"/>
    </row>
    <row r="87" spans="1:5" x14ac:dyDescent="0.3">
      <c r="B87" s="4" t="s">
        <v>25</v>
      </c>
      <c r="C87" s="3"/>
      <c r="D87" s="3"/>
      <c r="E87" s="3"/>
    </row>
    <row r="88" spans="1:5" x14ac:dyDescent="0.3">
      <c r="B88" s="2" t="s">
        <v>45</v>
      </c>
      <c r="C88" s="3" t="s">
        <v>46</v>
      </c>
      <c r="D88" s="3" t="s">
        <v>46</v>
      </c>
      <c r="E88" s="3" t="s">
        <v>46</v>
      </c>
    </row>
    <row r="89" spans="1:5" x14ac:dyDescent="0.3">
      <c r="B89" s="8" t="s">
        <v>74</v>
      </c>
      <c r="C89" s="11">
        <v>0.11</v>
      </c>
      <c r="D89" s="11">
        <v>0.11</v>
      </c>
      <c r="E89" s="11">
        <v>0.11</v>
      </c>
    </row>
    <row r="90" spans="1:5" x14ac:dyDescent="0.3">
      <c r="B90" s="8" t="s">
        <v>75</v>
      </c>
      <c r="C90" s="11">
        <v>0.1</v>
      </c>
      <c r="D90" s="11">
        <v>0.1</v>
      </c>
      <c r="E90" s="11">
        <v>0.1</v>
      </c>
    </row>
    <row r="91" spans="1:5" x14ac:dyDescent="0.3">
      <c r="B91" s="2" t="s">
        <v>76</v>
      </c>
      <c r="C91" s="3">
        <v>16</v>
      </c>
      <c r="D91" s="3">
        <v>16</v>
      </c>
      <c r="E91" s="3">
        <v>16</v>
      </c>
    </row>
    <row r="92" spans="1:5" x14ac:dyDescent="0.3">
      <c r="B92" s="2" t="s">
        <v>77</v>
      </c>
      <c r="C92" s="3">
        <v>25</v>
      </c>
      <c r="D92" s="3">
        <v>25</v>
      </c>
      <c r="E92" s="3">
        <v>25</v>
      </c>
    </row>
    <row r="93" spans="1:5" x14ac:dyDescent="0.3">
      <c r="B93" s="2" t="s">
        <v>78</v>
      </c>
      <c r="C93" s="3" t="s">
        <v>98</v>
      </c>
      <c r="D93" s="3" t="s">
        <v>98</v>
      </c>
      <c r="E93" s="3" t="s">
        <v>98</v>
      </c>
    </row>
    <row r="94" spans="1:5" x14ac:dyDescent="0.3">
      <c r="B94" s="2" t="s">
        <v>54</v>
      </c>
      <c r="C94" s="3">
        <v>3</v>
      </c>
      <c r="D94" s="3">
        <v>3</v>
      </c>
      <c r="E94" s="3">
        <v>3</v>
      </c>
    </row>
    <row r="95" spans="1:5" x14ac:dyDescent="0.3">
      <c r="B95" s="2" t="s">
        <v>79</v>
      </c>
      <c r="C95" s="3">
        <v>0.1</v>
      </c>
      <c r="D95" s="3">
        <v>0.1</v>
      </c>
      <c r="E95" s="3">
        <v>0.1</v>
      </c>
    </row>
    <row r="96" spans="1:5" x14ac:dyDescent="0.3">
      <c r="B96" s="2" t="s">
        <v>80</v>
      </c>
      <c r="C96" s="3">
        <v>0.1</v>
      </c>
      <c r="D96" s="3">
        <v>0.1</v>
      </c>
      <c r="E96" s="3">
        <v>0.1</v>
      </c>
    </row>
    <row r="97" spans="1:5" x14ac:dyDescent="0.3">
      <c r="B97" s="4" t="s">
        <v>26</v>
      </c>
      <c r="C97" s="3"/>
      <c r="D97" s="3"/>
      <c r="E97" s="3"/>
    </row>
    <row r="98" spans="1:5" x14ac:dyDescent="0.3">
      <c r="B98" s="2" t="s">
        <v>45</v>
      </c>
      <c r="C98" s="3" t="s">
        <v>46</v>
      </c>
      <c r="D98" s="3" t="s">
        <v>46</v>
      </c>
      <c r="E98" s="3" t="s">
        <v>46</v>
      </c>
    </row>
    <row r="99" spans="1:5" x14ac:dyDescent="0.3">
      <c r="B99" s="8" t="s">
        <v>74</v>
      </c>
      <c r="C99" s="11">
        <v>0.13</v>
      </c>
      <c r="D99" s="11">
        <v>0.13</v>
      </c>
      <c r="E99" s="11">
        <v>0.13</v>
      </c>
    </row>
    <row r="100" spans="1:5" x14ac:dyDescent="0.3">
      <c r="B100" s="8" t="s">
        <v>75</v>
      </c>
      <c r="C100" s="11">
        <v>0.12</v>
      </c>
      <c r="D100" s="11">
        <v>0.12</v>
      </c>
      <c r="E100" s="11">
        <v>0.12</v>
      </c>
    </row>
    <row r="101" spans="1:5" x14ac:dyDescent="0.3">
      <c r="B101" s="2" t="s">
        <v>76</v>
      </c>
      <c r="C101" s="3">
        <v>16</v>
      </c>
      <c r="D101" s="3">
        <v>16</v>
      </c>
      <c r="E101" s="3">
        <v>16</v>
      </c>
    </row>
    <row r="102" spans="1:5" x14ac:dyDescent="0.3">
      <c r="B102" s="2" t="s">
        <v>77</v>
      </c>
      <c r="C102" s="3">
        <v>26</v>
      </c>
      <c r="D102" s="3">
        <v>26</v>
      </c>
      <c r="E102" s="3">
        <v>26</v>
      </c>
    </row>
    <row r="103" spans="1:5" x14ac:dyDescent="0.3">
      <c r="B103" s="2" t="s">
        <v>78</v>
      </c>
      <c r="C103" s="3" t="s">
        <v>99</v>
      </c>
      <c r="D103" s="3" t="s">
        <v>99</v>
      </c>
      <c r="E103" s="3" t="s">
        <v>99</v>
      </c>
    </row>
    <row r="104" spans="1:5" x14ac:dyDescent="0.3">
      <c r="B104" s="2" t="s">
        <v>54</v>
      </c>
      <c r="C104" s="3">
        <v>3</v>
      </c>
      <c r="D104" s="3">
        <v>3</v>
      </c>
      <c r="E104" s="3">
        <v>3</v>
      </c>
    </row>
    <row r="105" spans="1:5" x14ac:dyDescent="0.3">
      <c r="B105" s="2" t="s">
        <v>79</v>
      </c>
      <c r="C105" s="3">
        <v>0.1</v>
      </c>
      <c r="D105" s="3">
        <v>0.1</v>
      </c>
      <c r="E105" s="3">
        <v>0.1</v>
      </c>
    </row>
    <row r="106" spans="1:5" x14ac:dyDescent="0.3">
      <c r="B106" s="2" t="s">
        <v>80</v>
      </c>
      <c r="C106" s="3">
        <v>0</v>
      </c>
      <c r="D106" s="3">
        <v>0</v>
      </c>
      <c r="E106" s="3">
        <v>0</v>
      </c>
    </row>
    <row r="107" spans="1:5" x14ac:dyDescent="0.3">
      <c r="A107" s="1">
        <v>12</v>
      </c>
      <c r="B107" s="6" t="s">
        <v>27</v>
      </c>
      <c r="C107" s="3"/>
      <c r="D107" s="3"/>
      <c r="E107" s="3"/>
    </row>
    <row r="108" spans="1:5" x14ac:dyDescent="0.3">
      <c r="B108" s="4" t="s">
        <v>28</v>
      </c>
      <c r="C108" s="3"/>
      <c r="D108" s="3"/>
      <c r="E108" s="3"/>
    </row>
    <row r="109" spans="1:5" x14ac:dyDescent="0.3">
      <c r="B109" s="2" t="s">
        <v>45</v>
      </c>
      <c r="C109" s="3" t="s">
        <v>46</v>
      </c>
      <c r="D109" s="3" t="s">
        <v>46</v>
      </c>
      <c r="E109" s="3" t="s">
        <v>46</v>
      </c>
    </row>
    <row r="110" spans="1:5" x14ac:dyDescent="0.3">
      <c r="B110" s="2" t="s">
        <v>81</v>
      </c>
      <c r="C110" s="3">
        <v>1.23</v>
      </c>
      <c r="D110" s="3">
        <v>1.23</v>
      </c>
      <c r="E110" s="3">
        <v>1.23</v>
      </c>
    </row>
    <row r="111" spans="1:5" x14ac:dyDescent="0.3">
      <c r="B111" s="2" t="s">
        <v>82</v>
      </c>
      <c r="C111" s="3" t="s">
        <v>100</v>
      </c>
      <c r="D111" s="3" t="s">
        <v>100</v>
      </c>
      <c r="E111" s="3" t="s">
        <v>100</v>
      </c>
    </row>
    <row r="112" spans="1:5" x14ac:dyDescent="0.3">
      <c r="B112" s="2" t="s">
        <v>78</v>
      </c>
      <c r="C112" s="3" t="s">
        <v>101</v>
      </c>
      <c r="D112" s="3" t="s">
        <v>101</v>
      </c>
      <c r="E112" s="3" t="s">
        <v>101</v>
      </c>
    </row>
    <row r="113" spans="2:5" x14ac:dyDescent="0.3">
      <c r="B113" s="2" t="s">
        <v>71</v>
      </c>
      <c r="C113" s="3">
        <v>20</v>
      </c>
      <c r="D113" s="3">
        <v>20</v>
      </c>
      <c r="E113" s="3">
        <v>20</v>
      </c>
    </row>
    <row r="114" spans="2:5" x14ac:dyDescent="0.3">
      <c r="B114" s="2" t="s">
        <v>54</v>
      </c>
      <c r="C114" s="3">
        <v>3</v>
      </c>
      <c r="D114" s="3">
        <v>3</v>
      </c>
      <c r="E114" s="3">
        <v>3</v>
      </c>
    </row>
    <row r="115" spans="2:5" x14ac:dyDescent="0.3">
      <c r="B115" s="2" t="s">
        <v>72</v>
      </c>
      <c r="C115" s="3">
        <v>0</v>
      </c>
      <c r="D115" s="3">
        <v>0</v>
      </c>
      <c r="E115" s="3">
        <v>0</v>
      </c>
    </row>
    <row r="116" spans="2:5" x14ac:dyDescent="0.3">
      <c r="B116" s="4" t="s">
        <v>29</v>
      </c>
      <c r="C116" s="3"/>
      <c r="D116" s="3"/>
      <c r="E116" s="3"/>
    </row>
    <row r="117" spans="2:5" x14ac:dyDescent="0.3">
      <c r="B117" s="2" t="s">
        <v>45</v>
      </c>
      <c r="C117" s="3" t="s">
        <v>46</v>
      </c>
      <c r="D117" s="3" t="s">
        <v>46</v>
      </c>
      <c r="E117" s="3" t="s">
        <v>46</v>
      </c>
    </row>
    <row r="118" spans="2:5" x14ac:dyDescent="0.3">
      <c r="B118" s="2" t="s">
        <v>81</v>
      </c>
      <c r="C118" s="3">
        <v>1.1299999999999999</v>
      </c>
      <c r="D118" s="3">
        <v>1.1299999999999999</v>
      </c>
      <c r="E118" s="3">
        <v>1.1299999999999999</v>
      </c>
    </row>
    <row r="119" spans="2:5" x14ac:dyDescent="0.3">
      <c r="B119" s="2" t="s">
        <v>82</v>
      </c>
      <c r="C119" s="3" t="s">
        <v>102</v>
      </c>
      <c r="D119" s="3" t="s">
        <v>102</v>
      </c>
      <c r="E119" s="3" t="s">
        <v>102</v>
      </c>
    </row>
    <row r="120" spans="2:5" x14ac:dyDescent="0.3">
      <c r="B120" s="2" t="s">
        <v>78</v>
      </c>
      <c r="C120" s="3" t="s">
        <v>98</v>
      </c>
      <c r="D120" s="3" t="s">
        <v>98</v>
      </c>
      <c r="E120" s="3" t="s">
        <v>98</v>
      </c>
    </row>
    <row r="121" spans="2:5" x14ac:dyDescent="0.3">
      <c r="B121" s="2" t="s">
        <v>71</v>
      </c>
      <c r="C121" s="3">
        <v>12</v>
      </c>
      <c r="D121" s="3">
        <v>12</v>
      </c>
      <c r="E121" s="3">
        <v>12</v>
      </c>
    </row>
    <row r="122" spans="2:5" x14ac:dyDescent="0.3">
      <c r="B122" s="2" t="s">
        <v>54</v>
      </c>
      <c r="C122" s="3">
        <v>3</v>
      </c>
      <c r="D122" s="3">
        <v>3</v>
      </c>
      <c r="E122" s="3">
        <v>3</v>
      </c>
    </row>
    <row r="123" spans="2:5" x14ac:dyDescent="0.3">
      <c r="B123" s="2" t="s">
        <v>72</v>
      </c>
      <c r="C123" s="3">
        <v>0</v>
      </c>
      <c r="D123" s="3">
        <v>0</v>
      </c>
      <c r="E123" s="3">
        <v>0</v>
      </c>
    </row>
    <row r="124" spans="2:5" x14ac:dyDescent="0.3">
      <c r="B124" s="4" t="s">
        <v>30</v>
      </c>
      <c r="C124" s="3"/>
      <c r="D124" s="3"/>
      <c r="E124" s="3"/>
    </row>
    <row r="125" spans="2:5" x14ac:dyDescent="0.3">
      <c r="B125" s="2" t="s">
        <v>45</v>
      </c>
      <c r="C125" s="3" t="s">
        <v>46</v>
      </c>
      <c r="D125" s="3" t="s">
        <v>46</v>
      </c>
      <c r="E125" s="3" t="s">
        <v>46</v>
      </c>
    </row>
    <row r="126" spans="2:5" x14ac:dyDescent="0.3">
      <c r="B126" s="2" t="s">
        <v>81</v>
      </c>
      <c r="C126" s="9">
        <v>0.12</v>
      </c>
      <c r="D126" s="9">
        <v>0.12</v>
      </c>
      <c r="E126" s="9">
        <v>0.12</v>
      </c>
    </row>
    <row r="127" spans="2:5" x14ac:dyDescent="0.3">
      <c r="B127" s="2" t="s">
        <v>82</v>
      </c>
      <c r="C127" s="3" t="s">
        <v>102</v>
      </c>
      <c r="D127" s="3" t="s">
        <v>102</v>
      </c>
      <c r="E127" s="3" t="s">
        <v>102</v>
      </c>
    </row>
    <row r="128" spans="2:5" x14ac:dyDescent="0.3">
      <c r="B128" s="2" t="s">
        <v>78</v>
      </c>
      <c r="C128" s="3" t="s">
        <v>98</v>
      </c>
      <c r="D128" s="3" t="s">
        <v>98</v>
      </c>
      <c r="E128" s="3" t="s">
        <v>98</v>
      </c>
    </row>
    <row r="129" spans="2:5" x14ac:dyDescent="0.3">
      <c r="B129" s="2" t="s">
        <v>71</v>
      </c>
      <c r="C129" s="3">
        <v>10</v>
      </c>
      <c r="D129" s="3">
        <v>10</v>
      </c>
      <c r="E129" s="3">
        <v>10</v>
      </c>
    </row>
    <row r="130" spans="2:5" x14ac:dyDescent="0.3">
      <c r="B130" s="2" t="s">
        <v>54</v>
      </c>
      <c r="C130" s="3">
        <v>3</v>
      </c>
      <c r="D130" s="3">
        <v>3</v>
      </c>
      <c r="E130" s="3">
        <v>3</v>
      </c>
    </row>
    <row r="131" spans="2:5" x14ac:dyDescent="0.3">
      <c r="B131" s="2" t="s">
        <v>72</v>
      </c>
      <c r="C131" s="3">
        <v>0</v>
      </c>
      <c r="D131" s="3">
        <v>0</v>
      </c>
      <c r="E131" s="3">
        <v>0</v>
      </c>
    </row>
    <row r="132" spans="2:5" x14ac:dyDescent="0.3">
      <c r="B132" s="4" t="s">
        <v>31</v>
      </c>
      <c r="C132" s="3"/>
      <c r="D132" s="3"/>
      <c r="E132" s="3"/>
    </row>
    <row r="133" spans="2:5" x14ac:dyDescent="0.3">
      <c r="B133" s="2" t="s">
        <v>45</v>
      </c>
      <c r="C133" s="3" t="s">
        <v>103</v>
      </c>
      <c r="D133" s="3" t="s">
        <v>103</v>
      </c>
      <c r="E133" s="3" t="s">
        <v>103</v>
      </c>
    </row>
    <row r="134" spans="2:5" x14ac:dyDescent="0.3">
      <c r="B134" s="2" t="s">
        <v>81</v>
      </c>
      <c r="C134" s="3">
        <v>2</v>
      </c>
      <c r="D134" s="3">
        <v>2</v>
      </c>
      <c r="E134" s="3">
        <v>2</v>
      </c>
    </row>
    <row r="135" spans="2:5" x14ac:dyDescent="0.3">
      <c r="B135" s="2" t="s">
        <v>82</v>
      </c>
      <c r="C135" s="3" t="s">
        <v>104</v>
      </c>
      <c r="D135" s="3" t="s">
        <v>104</v>
      </c>
      <c r="E135" s="3" t="s">
        <v>104</v>
      </c>
    </row>
    <row r="136" spans="2:5" x14ac:dyDescent="0.3">
      <c r="B136" s="2" t="s">
        <v>78</v>
      </c>
      <c r="C136" s="3">
        <v>15</v>
      </c>
      <c r="D136" s="3">
        <v>15</v>
      </c>
      <c r="E136" s="3">
        <v>15</v>
      </c>
    </row>
    <row r="137" spans="2:5" x14ac:dyDescent="0.3">
      <c r="B137" s="2" t="s">
        <v>71</v>
      </c>
      <c r="C137" s="3">
        <v>3</v>
      </c>
      <c r="D137" s="3">
        <v>3</v>
      </c>
      <c r="E137" s="3">
        <v>3</v>
      </c>
    </row>
    <row r="138" spans="2:5" x14ac:dyDescent="0.3">
      <c r="B138" s="2" t="s">
        <v>54</v>
      </c>
      <c r="C138" s="3">
        <v>0</v>
      </c>
      <c r="D138" s="3">
        <v>0</v>
      </c>
      <c r="E138" s="3">
        <v>0</v>
      </c>
    </row>
    <row r="139" spans="2:5" x14ac:dyDescent="0.3">
      <c r="B139" s="2" t="s">
        <v>72</v>
      </c>
      <c r="C139" s="3"/>
      <c r="D139" s="3"/>
      <c r="E139" s="3"/>
    </row>
    <row r="140" spans="2:5" x14ac:dyDescent="0.3">
      <c r="B140" s="6" t="s">
        <v>32</v>
      </c>
      <c r="C140" s="3"/>
      <c r="D140" s="3"/>
      <c r="E140" s="3"/>
    </row>
    <row r="141" spans="2:5" x14ac:dyDescent="0.3">
      <c r="B141" s="4" t="s">
        <v>33</v>
      </c>
      <c r="C141" s="3"/>
      <c r="D141" s="3"/>
      <c r="E141" s="3"/>
    </row>
    <row r="142" spans="2:5" x14ac:dyDescent="0.3">
      <c r="B142" s="2" t="s">
        <v>45</v>
      </c>
      <c r="C142" s="3" t="s">
        <v>96</v>
      </c>
      <c r="D142" s="3" t="s">
        <v>96</v>
      </c>
      <c r="E142" s="3" t="s">
        <v>96</v>
      </c>
    </row>
    <row r="143" spans="2:5" x14ac:dyDescent="0.3">
      <c r="B143" s="2" t="s">
        <v>83</v>
      </c>
      <c r="C143" s="3" t="s">
        <v>105</v>
      </c>
      <c r="D143" s="3" t="s">
        <v>105</v>
      </c>
      <c r="E143" s="3" t="s">
        <v>105</v>
      </c>
    </row>
    <row r="144" spans="2:5" x14ac:dyDescent="0.3">
      <c r="B144" s="2" t="s">
        <v>84</v>
      </c>
      <c r="C144" s="3">
        <v>11</v>
      </c>
      <c r="D144" s="3">
        <v>11</v>
      </c>
      <c r="E144" s="3">
        <v>11</v>
      </c>
    </row>
    <row r="145" spans="2:5" x14ac:dyDescent="0.3">
      <c r="B145" s="8" t="s">
        <v>85</v>
      </c>
      <c r="C145" s="9">
        <v>0.22</v>
      </c>
      <c r="D145" s="9">
        <v>0.22</v>
      </c>
      <c r="E145" s="9">
        <v>0.22</v>
      </c>
    </row>
    <row r="146" spans="2:5" x14ac:dyDescent="0.3">
      <c r="B146" s="8" t="s">
        <v>86</v>
      </c>
      <c r="C146" s="9">
        <v>0.22</v>
      </c>
      <c r="D146" s="9">
        <v>0.22</v>
      </c>
      <c r="E146" s="9">
        <v>0.22</v>
      </c>
    </row>
    <row r="147" spans="2:5" x14ac:dyDescent="0.3">
      <c r="B147" s="2" t="s">
        <v>78</v>
      </c>
      <c r="C147" s="3" t="s">
        <v>97</v>
      </c>
      <c r="D147" s="3" t="s">
        <v>97</v>
      </c>
      <c r="E147" s="3" t="s">
        <v>97</v>
      </c>
    </row>
    <row r="148" spans="2:5" x14ac:dyDescent="0.3">
      <c r="B148" s="2" t="s">
        <v>54</v>
      </c>
      <c r="C148" s="3">
        <v>3</v>
      </c>
      <c r="D148" s="3">
        <v>3</v>
      </c>
      <c r="E148" s="3">
        <v>3</v>
      </c>
    </row>
    <row r="149" spans="2:5" x14ac:dyDescent="0.3">
      <c r="B149" s="2" t="s">
        <v>87</v>
      </c>
      <c r="C149" s="3">
        <v>0.2</v>
      </c>
      <c r="D149" s="3">
        <v>0.2</v>
      </c>
      <c r="E149" s="3">
        <v>0.2</v>
      </c>
    </row>
    <row r="150" spans="2:5" x14ac:dyDescent="0.3">
      <c r="B150" s="2" t="s">
        <v>88</v>
      </c>
      <c r="C150" s="3">
        <v>0.1</v>
      </c>
      <c r="D150" s="3">
        <v>0.1</v>
      </c>
      <c r="E150" s="3">
        <v>0.1</v>
      </c>
    </row>
    <row r="151" spans="2:5" x14ac:dyDescent="0.3">
      <c r="B151" s="2" t="s">
        <v>89</v>
      </c>
      <c r="C151" s="11">
        <v>0.06</v>
      </c>
      <c r="D151" s="11">
        <v>0.06</v>
      </c>
      <c r="E151" s="11">
        <v>0.06</v>
      </c>
    </row>
    <row r="152" spans="2:5" x14ac:dyDescent="0.3">
      <c r="B152" s="2" t="s">
        <v>90</v>
      </c>
      <c r="C152" s="3">
        <v>2963</v>
      </c>
      <c r="D152" s="3">
        <v>2963</v>
      </c>
      <c r="E152" s="3">
        <v>2963</v>
      </c>
    </row>
    <row r="153" spans="2:5" x14ac:dyDescent="0.3">
      <c r="B153" s="6" t="s">
        <v>34</v>
      </c>
      <c r="C153" s="3"/>
      <c r="D153" s="3"/>
      <c r="E153" s="3"/>
    </row>
    <row r="154" spans="2:5" x14ac:dyDescent="0.3">
      <c r="B154" s="2" t="s">
        <v>45</v>
      </c>
      <c r="C154" s="3" t="s">
        <v>46</v>
      </c>
      <c r="D154" s="3" t="s">
        <v>46</v>
      </c>
      <c r="E154" s="3" t="s">
        <v>46</v>
      </c>
    </row>
    <row r="155" spans="2:5" x14ac:dyDescent="0.3">
      <c r="B155" s="8" t="s">
        <v>85</v>
      </c>
      <c r="C155" s="9">
        <v>0.25</v>
      </c>
      <c r="D155" s="9">
        <v>0.25</v>
      </c>
      <c r="E155" s="9">
        <v>0.25</v>
      </c>
    </row>
    <row r="156" spans="2:5" x14ac:dyDescent="0.3">
      <c r="B156" s="8" t="s">
        <v>86</v>
      </c>
      <c r="C156" s="9">
        <v>0.25</v>
      </c>
      <c r="D156" s="9">
        <v>0.25</v>
      </c>
      <c r="E156" s="9">
        <v>0.25</v>
      </c>
    </row>
    <row r="157" spans="2:5" x14ac:dyDescent="0.3">
      <c r="B157" s="2" t="s">
        <v>78</v>
      </c>
      <c r="C157" s="3" t="s">
        <v>106</v>
      </c>
      <c r="D157" s="3" t="s">
        <v>106</v>
      </c>
      <c r="E157" s="3" t="s">
        <v>106</v>
      </c>
    </row>
    <row r="158" spans="2:5" x14ac:dyDescent="0.3">
      <c r="B158" s="2" t="s">
        <v>54</v>
      </c>
      <c r="C158" s="3">
        <v>3</v>
      </c>
      <c r="D158" s="3">
        <v>3</v>
      </c>
      <c r="E158" s="3">
        <v>3</v>
      </c>
    </row>
    <row r="159" spans="2:5" x14ac:dyDescent="0.3">
      <c r="B159" s="10" t="s">
        <v>91</v>
      </c>
      <c r="C159" s="3">
        <v>2</v>
      </c>
      <c r="D159" s="3">
        <v>2</v>
      </c>
      <c r="E159" s="3">
        <v>2</v>
      </c>
    </row>
    <row r="160" spans="2:5" x14ac:dyDescent="0.3">
      <c r="B160" s="10" t="s">
        <v>92</v>
      </c>
      <c r="C160" s="3">
        <v>0.6</v>
      </c>
      <c r="D160" s="3">
        <v>0.6</v>
      </c>
      <c r="E160" s="3">
        <v>0.6</v>
      </c>
    </row>
    <row r="161" spans="2:5" x14ac:dyDescent="0.3">
      <c r="B161" s="2" t="s">
        <v>93</v>
      </c>
      <c r="C161" s="11">
        <v>0.01</v>
      </c>
      <c r="D161" s="11">
        <v>0.01</v>
      </c>
      <c r="E161" s="11">
        <v>0.01</v>
      </c>
    </row>
  </sheetData>
  <mergeCells count="3">
    <mergeCell ref="A5:A9"/>
    <mergeCell ref="A10:A14"/>
    <mergeCell ref="A16:A1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55"/>
  <sheetViews>
    <sheetView workbookViewId="0">
      <selection activeCell="Q19" sqref="Q19"/>
    </sheetView>
  </sheetViews>
  <sheetFormatPr defaultColWidth="9.6640625" defaultRowHeight="14.4" x14ac:dyDescent="0.3"/>
  <cols>
    <col min="1" max="1" width="9.6640625" style="1"/>
    <col min="2" max="2" width="28.109375" customWidth="1"/>
    <col min="3" max="5" width="0" style="1" hidden="1" customWidth="1"/>
    <col min="6" max="6" width="0" hidden="1" customWidth="1"/>
    <col min="7" max="7" width="11" customWidth="1"/>
    <col min="8" max="8" width="12.109375" customWidth="1"/>
    <col min="9" max="9" width="11" customWidth="1"/>
    <col min="10" max="10" width="13.44140625" customWidth="1"/>
  </cols>
  <sheetData>
    <row r="2" spans="1:14" ht="20.100000000000001" customHeight="1" x14ac:dyDescent="0.3">
      <c r="B2" s="2" t="s">
        <v>118</v>
      </c>
      <c r="C2" s="3"/>
      <c r="D2" s="3"/>
      <c r="E2" s="3"/>
      <c r="F2" s="2"/>
      <c r="G2" s="13" t="s">
        <v>117</v>
      </c>
      <c r="H2" s="2"/>
      <c r="I2" s="2"/>
      <c r="J2" s="2"/>
    </row>
    <row r="3" spans="1:14" ht="20.100000000000001" customHeight="1" x14ac:dyDescent="0.3">
      <c r="B3" s="2"/>
      <c r="C3" s="17" t="s">
        <v>107</v>
      </c>
      <c r="D3" s="18"/>
      <c r="E3" s="17" t="s">
        <v>110</v>
      </c>
      <c r="F3" s="18"/>
      <c r="G3" s="17" t="s">
        <v>107</v>
      </c>
      <c r="H3" s="18"/>
      <c r="I3" s="17" t="s">
        <v>110</v>
      </c>
      <c r="J3" s="18"/>
    </row>
    <row r="4" spans="1:14" ht="20.100000000000001" customHeight="1" x14ac:dyDescent="0.3">
      <c r="B4" s="2" t="s">
        <v>119</v>
      </c>
      <c r="C4" s="3" t="s">
        <v>108</v>
      </c>
      <c r="D4" s="3" t="s">
        <v>109</v>
      </c>
      <c r="E4" s="3" t="s">
        <v>108</v>
      </c>
      <c r="F4" s="3" t="s">
        <v>109</v>
      </c>
      <c r="G4" s="3" t="s">
        <v>108</v>
      </c>
      <c r="H4" s="3" t="s">
        <v>109</v>
      </c>
      <c r="I4" s="3" t="s">
        <v>108</v>
      </c>
      <c r="J4" s="3" t="s">
        <v>109</v>
      </c>
    </row>
    <row r="5" spans="1:14" ht="20.100000000000001" customHeight="1" x14ac:dyDescent="0.3">
      <c r="A5" s="16">
        <v>1</v>
      </c>
      <c r="B5" s="4" t="s">
        <v>116</v>
      </c>
      <c r="C5" s="3">
        <v>156.19999999999999</v>
      </c>
      <c r="D5" s="3">
        <v>150</v>
      </c>
      <c r="E5" s="3">
        <v>405</v>
      </c>
      <c r="F5" s="2">
        <v>315</v>
      </c>
      <c r="G5" s="3">
        <v>156.19999999999999</v>
      </c>
      <c r="H5" s="3">
        <v>150</v>
      </c>
      <c r="I5" s="3">
        <v>405</v>
      </c>
      <c r="J5" s="3">
        <v>315</v>
      </c>
      <c r="K5">
        <f>1000/C6</f>
        <v>7.6923076923076925</v>
      </c>
      <c r="L5">
        <f>1000/150</f>
        <v>6.666666666666667</v>
      </c>
      <c r="M5">
        <f>1000/405</f>
        <v>2.4691358024691357</v>
      </c>
      <c r="N5">
        <f>-1000/315</f>
        <v>-3.1746031746031744</v>
      </c>
    </row>
    <row r="6" spans="1:14" ht="20.100000000000001" customHeight="1" x14ac:dyDescent="0.3">
      <c r="A6" s="16"/>
      <c r="B6" s="4" t="str">
        <f>+[1]Sheet4!A7</f>
        <v>Total Cuts</v>
      </c>
      <c r="C6" s="3">
        <v>130</v>
      </c>
      <c r="D6" s="3">
        <v>126</v>
      </c>
      <c r="E6" s="3">
        <v>200</v>
      </c>
      <c r="F6" s="2">
        <v>256</v>
      </c>
      <c r="G6" s="15">
        <f>+K6*C6</f>
        <v>1000</v>
      </c>
      <c r="H6" s="15">
        <f t="shared" ref="H6:H20" si="0">+L6*D6</f>
        <v>840.42</v>
      </c>
      <c r="I6" s="15">
        <f t="shared" ref="I6" si="1">+M6*E6</f>
        <v>494.00000000000006</v>
      </c>
      <c r="J6" s="15">
        <f t="shared" ref="J6" si="2">+N6*F6</f>
        <v>812.8</v>
      </c>
      <c r="K6" s="14">
        <f>1000/C6</f>
        <v>7.6923076923076925</v>
      </c>
      <c r="L6">
        <v>6.67</v>
      </c>
      <c r="M6">
        <v>2.4700000000000002</v>
      </c>
      <c r="N6">
        <v>3.1749999999999998</v>
      </c>
    </row>
    <row r="7" spans="1:14" ht="20.100000000000001" customHeight="1" x14ac:dyDescent="0.3">
      <c r="A7" s="16"/>
      <c r="B7" s="2" t="str">
        <f>+[1]Sheet4!C7</f>
        <v>Nep Cuts</v>
      </c>
      <c r="C7" s="3">
        <v>12</v>
      </c>
      <c r="D7" s="3">
        <v>19</v>
      </c>
      <c r="E7" s="3">
        <v>32</v>
      </c>
      <c r="F7" s="2">
        <v>39</v>
      </c>
      <c r="G7" s="15">
        <f t="shared" ref="G7:G20" si="3">+K7*C7</f>
        <v>92.304000000000002</v>
      </c>
      <c r="H7" s="15">
        <f t="shared" si="0"/>
        <v>126.73</v>
      </c>
      <c r="I7" s="15">
        <f t="shared" ref="I7:I20" si="4">+M7*E7</f>
        <v>79.040000000000006</v>
      </c>
      <c r="J7" s="15">
        <f t="shared" ref="J7:J20" si="5">+N7*F7</f>
        <v>123.82499999999999</v>
      </c>
      <c r="K7" s="14">
        <v>7.6920000000000002</v>
      </c>
      <c r="L7">
        <v>6.67</v>
      </c>
      <c r="M7">
        <v>2.4700000000000002</v>
      </c>
      <c r="N7">
        <v>3.1749999999999998</v>
      </c>
    </row>
    <row r="8" spans="1:14" ht="20.100000000000001" customHeight="1" x14ac:dyDescent="0.3">
      <c r="A8" s="16"/>
      <c r="B8" s="2" t="str">
        <f>+[1]Sheet4!C8</f>
        <v>Short Cuts</v>
      </c>
      <c r="C8" s="3">
        <v>13</v>
      </c>
      <c r="D8" s="3">
        <v>19</v>
      </c>
      <c r="E8" s="3">
        <v>36</v>
      </c>
      <c r="F8" s="2">
        <v>40</v>
      </c>
      <c r="G8" s="15">
        <f t="shared" si="3"/>
        <v>99.996000000000009</v>
      </c>
      <c r="H8" s="15">
        <f t="shared" si="0"/>
        <v>126.73</v>
      </c>
      <c r="I8" s="15">
        <f t="shared" si="4"/>
        <v>88.92</v>
      </c>
      <c r="J8" s="15">
        <f t="shared" si="5"/>
        <v>127</v>
      </c>
      <c r="K8" s="14">
        <v>7.6920000000000002</v>
      </c>
      <c r="L8">
        <v>6.67</v>
      </c>
      <c r="M8">
        <v>2.4700000000000002</v>
      </c>
      <c r="N8">
        <v>3.1749999999999998</v>
      </c>
    </row>
    <row r="9" spans="1:14" ht="20.100000000000001" customHeight="1" x14ac:dyDescent="0.3">
      <c r="A9" s="16"/>
      <c r="B9" s="2" t="str">
        <f>+[1]Sheet4!C9</f>
        <v>Long Cuts</v>
      </c>
      <c r="C9" s="3">
        <v>5</v>
      </c>
      <c r="D9" s="3">
        <v>5</v>
      </c>
      <c r="E9" s="3">
        <v>8</v>
      </c>
      <c r="F9" s="2">
        <v>9</v>
      </c>
      <c r="G9" s="15">
        <f t="shared" si="3"/>
        <v>38.46</v>
      </c>
      <c r="H9" s="15">
        <f t="shared" si="0"/>
        <v>33.35</v>
      </c>
      <c r="I9" s="15">
        <f t="shared" si="4"/>
        <v>19.760000000000002</v>
      </c>
      <c r="J9" s="15">
        <f t="shared" si="5"/>
        <v>28.574999999999999</v>
      </c>
      <c r="K9" s="14">
        <v>7.6920000000000002</v>
      </c>
      <c r="L9">
        <v>6.67</v>
      </c>
      <c r="M9">
        <v>2.4700000000000002</v>
      </c>
      <c r="N9">
        <v>3.1749999999999998</v>
      </c>
    </row>
    <row r="10" spans="1:14" ht="20.100000000000001" customHeight="1" x14ac:dyDescent="0.3">
      <c r="A10" s="16"/>
      <c r="B10" s="2" t="str">
        <f>+[1]Sheet4!C10</f>
        <v>Thin Cuts</v>
      </c>
      <c r="C10" s="3">
        <v>49</v>
      </c>
      <c r="D10" s="3">
        <v>8</v>
      </c>
      <c r="E10" s="3">
        <v>34</v>
      </c>
      <c r="F10" s="2">
        <v>78</v>
      </c>
      <c r="G10" s="15">
        <f t="shared" si="3"/>
        <v>376.90800000000002</v>
      </c>
      <c r="H10" s="15">
        <f t="shared" si="0"/>
        <v>53.36</v>
      </c>
      <c r="I10" s="15">
        <f t="shared" si="4"/>
        <v>83.98</v>
      </c>
      <c r="J10" s="15">
        <f t="shared" si="5"/>
        <v>247.64999999999998</v>
      </c>
      <c r="K10" s="14">
        <v>7.6920000000000002</v>
      </c>
      <c r="L10">
        <v>6.67</v>
      </c>
      <c r="M10">
        <v>2.4700000000000002</v>
      </c>
      <c r="N10">
        <v>3.1749999999999998</v>
      </c>
    </row>
    <row r="11" spans="1:14" ht="20.100000000000001" customHeight="1" x14ac:dyDescent="0.3">
      <c r="A11" s="5"/>
      <c r="B11" s="2" t="str">
        <f>+[1]Sheet4!G9</f>
        <v>Short OffCount Cuts +</v>
      </c>
      <c r="C11" s="3">
        <v>0</v>
      </c>
      <c r="D11" s="3">
        <v>1</v>
      </c>
      <c r="E11" s="3">
        <v>4</v>
      </c>
      <c r="F11" s="2">
        <v>5</v>
      </c>
      <c r="G11" s="15">
        <f t="shared" si="3"/>
        <v>0</v>
      </c>
      <c r="H11" s="15">
        <f t="shared" si="0"/>
        <v>6.67</v>
      </c>
      <c r="I11" s="15">
        <f t="shared" si="4"/>
        <v>9.8800000000000008</v>
      </c>
      <c r="J11" s="15">
        <f t="shared" si="5"/>
        <v>15.875</v>
      </c>
      <c r="K11" s="14">
        <v>7.6920000000000002</v>
      </c>
      <c r="L11">
        <v>6.67</v>
      </c>
      <c r="M11">
        <v>2.4700000000000002</v>
      </c>
      <c r="N11">
        <v>3.1749999999999998</v>
      </c>
    </row>
    <row r="12" spans="1:14" ht="20.100000000000001" customHeight="1" x14ac:dyDescent="0.3">
      <c r="A12" s="16">
        <v>3</v>
      </c>
      <c r="B12" s="2" t="str">
        <f>+[1]Sheet4!G7</f>
        <v>OffCount Cuts +</v>
      </c>
      <c r="C12" s="3">
        <v>0</v>
      </c>
      <c r="D12" s="3">
        <v>0</v>
      </c>
      <c r="E12" s="3">
        <v>1</v>
      </c>
      <c r="F12" s="2">
        <v>1</v>
      </c>
      <c r="G12" s="15">
        <f t="shared" si="3"/>
        <v>0</v>
      </c>
      <c r="H12" s="15">
        <f t="shared" si="0"/>
        <v>0</v>
      </c>
      <c r="I12" s="15">
        <f t="shared" si="4"/>
        <v>2.4700000000000002</v>
      </c>
      <c r="J12" s="15">
        <f t="shared" si="5"/>
        <v>3.1749999999999998</v>
      </c>
      <c r="K12" s="14">
        <v>7.6920000000000002</v>
      </c>
      <c r="L12">
        <v>6.67</v>
      </c>
      <c r="M12">
        <v>2.4700000000000002</v>
      </c>
      <c r="N12">
        <v>3.1749999999999998</v>
      </c>
    </row>
    <row r="13" spans="1:14" ht="20.100000000000001" customHeight="1" x14ac:dyDescent="0.3">
      <c r="A13" s="16"/>
      <c r="B13" s="2" t="s">
        <v>111</v>
      </c>
      <c r="C13" s="3">
        <v>34</v>
      </c>
      <c r="D13" s="3">
        <v>54</v>
      </c>
      <c r="E13" s="3">
        <v>79</v>
      </c>
      <c r="F13" s="2">
        <v>80</v>
      </c>
      <c r="G13" s="15">
        <f t="shared" si="3"/>
        <v>261.52800000000002</v>
      </c>
      <c r="H13" s="15">
        <f t="shared" si="0"/>
        <v>360.18</v>
      </c>
      <c r="I13" s="15">
        <f t="shared" si="4"/>
        <v>195.13000000000002</v>
      </c>
      <c r="J13" s="15">
        <f t="shared" si="5"/>
        <v>254</v>
      </c>
      <c r="K13" s="14">
        <v>7.6920000000000002</v>
      </c>
      <c r="L13">
        <v>6.67</v>
      </c>
      <c r="M13">
        <v>2.4700000000000002</v>
      </c>
      <c r="N13">
        <v>3.1749999999999998</v>
      </c>
    </row>
    <row r="14" spans="1:14" ht="20.100000000000001" customHeight="1" x14ac:dyDescent="0.3">
      <c r="A14" s="16"/>
      <c r="B14" t="s">
        <v>112</v>
      </c>
      <c r="C14" s="3">
        <v>0</v>
      </c>
      <c r="D14" s="3"/>
      <c r="E14" s="3"/>
      <c r="F14" s="2"/>
      <c r="G14" s="15">
        <f t="shared" si="3"/>
        <v>0</v>
      </c>
      <c r="H14" s="15">
        <f t="shared" si="0"/>
        <v>0</v>
      </c>
      <c r="I14" s="15">
        <f t="shared" si="4"/>
        <v>0</v>
      </c>
      <c r="J14" s="15">
        <f t="shared" si="5"/>
        <v>0</v>
      </c>
      <c r="K14" s="14">
        <v>7.6920000000000002</v>
      </c>
      <c r="L14">
        <v>6.67</v>
      </c>
      <c r="M14">
        <v>2.4700000000000002</v>
      </c>
      <c r="N14">
        <v>3.1749999999999998</v>
      </c>
    </row>
    <row r="15" spans="1:14" ht="20.100000000000001" customHeight="1" x14ac:dyDescent="0.3">
      <c r="A15" s="16"/>
      <c r="B15" s="2" t="s">
        <v>113</v>
      </c>
      <c r="C15" s="3">
        <v>3</v>
      </c>
      <c r="D15" s="3">
        <v>6</v>
      </c>
      <c r="E15" s="3">
        <v>4</v>
      </c>
      <c r="F15" s="2">
        <v>2</v>
      </c>
      <c r="G15" s="15">
        <f t="shared" si="3"/>
        <v>23.076000000000001</v>
      </c>
      <c r="H15" s="15">
        <f t="shared" si="0"/>
        <v>40.019999999999996</v>
      </c>
      <c r="I15" s="15">
        <f t="shared" si="4"/>
        <v>9.8800000000000008</v>
      </c>
      <c r="J15" s="15">
        <f t="shared" si="5"/>
        <v>6.35</v>
      </c>
      <c r="K15" s="14">
        <v>7.6920000000000002</v>
      </c>
      <c r="L15">
        <v>6.67</v>
      </c>
      <c r="M15">
        <v>2.4700000000000002</v>
      </c>
      <c r="N15">
        <v>3.1749999999999998</v>
      </c>
    </row>
    <row r="16" spans="1:14" ht="20.100000000000001" customHeight="1" x14ac:dyDescent="0.3">
      <c r="B16" s="2" t="s">
        <v>16</v>
      </c>
      <c r="C16" s="3"/>
      <c r="D16" s="3"/>
      <c r="E16" s="3"/>
      <c r="F16" s="2"/>
      <c r="G16" s="15">
        <f t="shared" si="3"/>
        <v>0</v>
      </c>
      <c r="H16" s="15">
        <f t="shared" si="0"/>
        <v>0</v>
      </c>
      <c r="I16" s="15">
        <f t="shared" si="4"/>
        <v>0</v>
      </c>
      <c r="J16" s="15">
        <f t="shared" si="5"/>
        <v>0</v>
      </c>
      <c r="K16" s="14">
        <v>7.6920000000000002</v>
      </c>
      <c r="L16">
        <v>6.67</v>
      </c>
      <c r="M16">
        <v>2.4700000000000002</v>
      </c>
      <c r="N16">
        <v>3.1749999999999998</v>
      </c>
    </row>
    <row r="17" spans="1:14" ht="20.100000000000001" customHeight="1" x14ac:dyDescent="0.3">
      <c r="B17" s="2" t="s">
        <v>17</v>
      </c>
      <c r="C17" s="3"/>
      <c r="D17" s="3"/>
      <c r="E17" s="3"/>
      <c r="F17" s="2"/>
      <c r="G17" s="15">
        <f t="shared" si="3"/>
        <v>0</v>
      </c>
      <c r="H17" s="15">
        <f t="shared" si="0"/>
        <v>0</v>
      </c>
      <c r="I17" s="15">
        <f t="shared" si="4"/>
        <v>0</v>
      </c>
      <c r="J17" s="15">
        <f t="shared" si="5"/>
        <v>0</v>
      </c>
      <c r="K17" s="14">
        <v>7.6920000000000002</v>
      </c>
      <c r="L17">
        <v>6.67</v>
      </c>
      <c r="M17">
        <v>2.4700000000000002</v>
      </c>
      <c r="N17">
        <v>3.1749999999999998</v>
      </c>
    </row>
    <row r="18" spans="1:14" ht="20.100000000000001" customHeight="1" x14ac:dyDescent="0.3">
      <c r="B18" s="2" t="s">
        <v>18</v>
      </c>
      <c r="C18" s="3"/>
      <c r="D18" s="3"/>
      <c r="E18" s="3"/>
      <c r="F18" s="2"/>
      <c r="G18" s="15">
        <f t="shared" si="3"/>
        <v>0</v>
      </c>
      <c r="H18" s="15">
        <f t="shared" si="0"/>
        <v>0</v>
      </c>
      <c r="I18" s="15">
        <f t="shared" si="4"/>
        <v>0</v>
      </c>
      <c r="J18" s="15">
        <f t="shared" si="5"/>
        <v>0</v>
      </c>
      <c r="K18" s="14">
        <v>7.6920000000000002</v>
      </c>
      <c r="L18">
        <v>6.67</v>
      </c>
      <c r="M18">
        <v>2.4700000000000002</v>
      </c>
      <c r="N18">
        <v>3.1749999999999998</v>
      </c>
    </row>
    <row r="19" spans="1:14" ht="20.100000000000001" customHeight="1" x14ac:dyDescent="0.3">
      <c r="A19" s="1">
        <v>5</v>
      </c>
      <c r="B19" s="6" t="s">
        <v>114</v>
      </c>
      <c r="C19" s="3">
        <v>14</v>
      </c>
      <c r="D19" s="3">
        <v>0</v>
      </c>
      <c r="E19" s="3">
        <v>2</v>
      </c>
      <c r="F19" s="2">
        <v>2</v>
      </c>
      <c r="G19" s="15">
        <f t="shared" si="3"/>
        <v>107.688</v>
      </c>
      <c r="H19" s="15">
        <f t="shared" si="0"/>
        <v>0</v>
      </c>
      <c r="I19" s="15">
        <f t="shared" si="4"/>
        <v>4.9400000000000004</v>
      </c>
      <c r="J19" s="15">
        <f t="shared" si="5"/>
        <v>6.35</v>
      </c>
      <c r="K19" s="14">
        <v>7.6920000000000002</v>
      </c>
      <c r="L19">
        <v>6.67</v>
      </c>
      <c r="M19">
        <v>2.4700000000000002</v>
      </c>
      <c r="N19">
        <v>3.1749999999999998</v>
      </c>
    </row>
    <row r="20" spans="1:14" ht="20.100000000000001" customHeight="1" x14ac:dyDescent="0.3">
      <c r="B20" s="2" t="s">
        <v>115</v>
      </c>
      <c r="C20" s="3">
        <v>141</v>
      </c>
      <c r="D20" s="3">
        <v>14</v>
      </c>
      <c r="E20" s="3">
        <v>171</v>
      </c>
      <c r="F20" s="2">
        <v>149</v>
      </c>
      <c r="G20" s="15">
        <f t="shared" si="3"/>
        <v>1084.5720000000001</v>
      </c>
      <c r="H20" s="15">
        <f t="shared" si="0"/>
        <v>93.38</v>
      </c>
      <c r="I20" s="15">
        <f t="shared" si="4"/>
        <v>422.37000000000006</v>
      </c>
      <c r="J20" s="15">
        <f t="shared" si="5"/>
        <v>473.07499999999999</v>
      </c>
      <c r="K20" s="14">
        <v>7.6920000000000002</v>
      </c>
      <c r="L20">
        <v>6.67</v>
      </c>
      <c r="M20">
        <v>2.4700000000000002</v>
      </c>
      <c r="N20">
        <v>3.1749999999999998</v>
      </c>
    </row>
    <row r="21" spans="1:14" ht="20.100000000000001" customHeight="1" x14ac:dyDescent="0.3">
      <c r="B21" s="2"/>
      <c r="C21" s="3"/>
      <c r="D21" s="3"/>
      <c r="E21" s="3"/>
      <c r="F21" s="2"/>
      <c r="G21" s="2"/>
      <c r="H21" s="2"/>
      <c r="I21" s="2"/>
      <c r="J21" s="2"/>
      <c r="K21" s="14">
        <v>7.6920000000000002</v>
      </c>
      <c r="L21">
        <v>6.67</v>
      </c>
      <c r="M21">
        <v>2.4700000000000002</v>
      </c>
      <c r="N21">
        <v>3.1749999999999998</v>
      </c>
    </row>
    <row r="22" spans="1:14" x14ac:dyDescent="0.3">
      <c r="B22" s="2"/>
      <c r="C22" s="3"/>
      <c r="D22" s="3"/>
      <c r="E22" s="3"/>
      <c r="F22" s="2"/>
      <c r="G22" s="2"/>
      <c r="H22" s="2"/>
      <c r="I22" s="2"/>
      <c r="J22" s="2"/>
    </row>
    <row r="23" spans="1:14" x14ac:dyDescent="0.3">
      <c r="B23" s="2"/>
      <c r="C23" s="3"/>
      <c r="D23" s="3"/>
      <c r="E23" s="3"/>
      <c r="F23" s="2"/>
      <c r="G23" s="2"/>
      <c r="H23" s="2"/>
      <c r="I23" s="2"/>
      <c r="J23" s="2"/>
    </row>
    <row r="24" spans="1:14" x14ac:dyDescent="0.3">
      <c r="A24" s="1">
        <v>6</v>
      </c>
      <c r="B24" s="6"/>
      <c r="C24" s="3"/>
      <c r="D24" s="3"/>
      <c r="E24" s="3"/>
      <c r="F24" s="2"/>
      <c r="G24" s="2"/>
      <c r="H24" s="2"/>
      <c r="I24" s="2"/>
      <c r="J24" s="2"/>
    </row>
    <row r="25" spans="1:14" x14ac:dyDescent="0.3">
      <c r="B25" s="2" t="s">
        <v>39</v>
      </c>
      <c r="C25" s="3"/>
      <c r="D25" s="3"/>
      <c r="E25" s="3"/>
      <c r="F25" s="2"/>
      <c r="G25" s="2"/>
      <c r="H25" s="2"/>
      <c r="I25" s="2"/>
      <c r="J25" s="2"/>
    </row>
    <row r="26" spans="1:14" x14ac:dyDescent="0.3">
      <c r="B26" s="2" t="s">
        <v>41</v>
      </c>
      <c r="C26" s="3"/>
      <c r="D26" s="3"/>
      <c r="E26" s="3"/>
      <c r="F26" s="2"/>
      <c r="G26" s="2"/>
      <c r="H26" s="2"/>
      <c r="I26" s="2"/>
      <c r="J26" s="2"/>
    </row>
    <row r="27" spans="1:14" x14ac:dyDescent="0.3">
      <c r="B27" s="2" t="s">
        <v>40</v>
      </c>
      <c r="C27" s="3"/>
      <c r="D27" s="3"/>
      <c r="E27" s="3"/>
      <c r="F27" s="2"/>
      <c r="G27" s="2"/>
      <c r="H27" s="2"/>
      <c r="I27" s="2"/>
      <c r="J27" s="2"/>
    </row>
    <row r="28" spans="1:14" x14ac:dyDescent="0.3">
      <c r="A28" s="1">
        <v>7</v>
      </c>
      <c r="B28" s="6" t="s">
        <v>21</v>
      </c>
      <c r="C28" s="3"/>
      <c r="D28" s="3"/>
      <c r="E28" s="3"/>
      <c r="F28" s="2"/>
      <c r="G28" s="2"/>
      <c r="H28" s="2"/>
      <c r="I28" s="2"/>
      <c r="J28" s="2"/>
    </row>
    <row r="29" spans="1:14" x14ac:dyDescent="0.3">
      <c r="B29" s="7" t="s">
        <v>42</v>
      </c>
      <c r="C29" s="3"/>
      <c r="D29" s="3"/>
      <c r="E29" s="3"/>
      <c r="F29" s="2"/>
      <c r="G29" s="2"/>
      <c r="H29" s="2"/>
      <c r="I29" s="2"/>
      <c r="J29" s="2"/>
    </row>
    <row r="30" spans="1:14" x14ac:dyDescent="0.3">
      <c r="B30" s="7" t="s">
        <v>43</v>
      </c>
      <c r="C30" s="3"/>
      <c r="D30" s="3"/>
      <c r="E30" s="3"/>
      <c r="F30" s="2"/>
      <c r="G30" s="2"/>
      <c r="H30" s="2"/>
      <c r="I30" s="2"/>
      <c r="J30" s="2"/>
    </row>
    <row r="31" spans="1:14" x14ac:dyDescent="0.3">
      <c r="B31" s="2" t="s">
        <v>44</v>
      </c>
      <c r="C31" s="3"/>
      <c r="D31" s="3"/>
      <c r="E31" s="3"/>
      <c r="F31" s="2"/>
      <c r="G31" s="2"/>
      <c r="H31" s="2"/>
      <c r="I31" s="2"/>
      <c r="J31" s="2"/>
    </row>
    <row r="32" spans="1:14" x14ac:dyDescent="0.3">
      <c r="A32" s="1">
        <v>8</v>
      </c>
      <c r="B32" s="6" t="s">
        <v>22</v>
      </c>
      <c r="C32" s="12"/>
      <c r="D32" s="12"/>
      <c r="E32" s="12"/>
    </row>
    <row r="33" spans="1:5" x14ac:dyDescent="0.3">
      <c r="B33" s="2" t="s">
        <v>45</v>
      </c>
      <c r="C33" s="3"/>
      <c r="D33" s="3"/>
      <c r="E33" s="3"/>
    </row>
    <row r="34" spans="1:5" x14ac:dyDescent="0.3">
      <c r="B34" s="2" t="s">
        <v>47</v>
      </c>
      <c r="C34" s="3"/>
      <c r="D34" s="3"/>
      <c r="E34" s="3"/>
    </row>
    <row r="35" spans="1:5" x14ac:dyDescent="0.3">
      <c r="B35" s="2" t="s">
        <v>48</v>
      </c>
      <c r="C35" s="3"/>
      <c r="D35" s="3"/>
      <c r="E35" s="3"/>
    </row>
    <row r="36" spans="1:5" x14ac:dyDescent="0.3">
      <c r="B36" s="2" t="s">
        <v>49</v>
      </c>
      <c r="C36" s="3"/>
      <c r="D36" s="3"/>
      <c r="E36" s="3"/>
    </row>
    <row r="37" spans="1:5" x14ac:dyDescent="0.3">
      <c r="B37" s="2" t="s">
        <v>50</v>
      </c>
      <c r="C37" s="3"/>
      <c r="D37" s="3"/>
      <c r="E37" s="3"/>
    </row>
    <row r="38" spans="1:5" x14ac:dyDescent="0.3">
      <c r="B38" s="2" t="s">
        <v>51</v>
      </c>
      <c r="C38" s="3"/>
      <c r="D38" s="3"/>
      <c r="E38" s="3"/>
    </row>
    <row r="39" spans="1:5" x14ac:dyDescent="0.3">
      <c r="B39" s="8" t="s">
        <v>52</v>
      </c>
      <c r="C39" s="9"/>
      <c r="D39" s="3"/>
      <c r="E39" s="3"/>
    </row>
    <row r="40" spans="1:5" x14ac:dyDescent="0.3">
      <c r="B40" s="8" t="s">
        <v>53</v>
      </c>
      <c r="C40" s="3"/>
      <c r="D40" s="3"/>
      <c r="E40" s="3"/>
    </row>
    <row r="41" spans="1:5" x14ac:dyDescent="0.3">
      <c r="B41" s="2" t="s">
        <v>54</v>
      </c>
      <c r="C41" s="3"/>
      <c r="D41" s="3"/>
      <c r="E41" s="3"/>
    </row>
    <row r="42" spans="1:5" x14ac:dyDescent="0.3">
      <c r="B42" s="6" t="s">
        <v>55</v>
      </c>
      <c r="C42" s="3"/>
      <c r="D42" s="3"/>
      <c r="E42" s="3"/>
    </row>
    <row r="43" spans="1:5" x14ac:dyDescent="0.3">
      <c r="B43" s="2" t="s">
        <v>45</v>
      </c>
      <c r="C43" s="3"/>
      <c r="D43" s="3"/>
      <c r="E43" s="3"/>
    </row>
    <row r="44" spans="1:5" x14ac:dyDescent="0.3">
      <c r="B44" s="2"/>
      <c r="C44" s="3"/>
      <c r="D44" s="3"/>
      <c r="E44" s="3"/>
    </row>
    <row r="45" spans="1:5" x14ac:dyDescent="0.3">
      <c r="A45" s="1">
        <v>9</v>
      </c>
      <c r="B45" s="4" t="s">
        <v>23</v>
      </c>
      <c r="C45" s="3"/>
      <c r="D45" s="3"/>
      <c r="E45" s="3"/>
    </row>
    <row r="46" spans="1:5" x14ac:dyDescent="0.3">
      <c r="B46" s="2" t="s">
        <v>45</v>
      </c>
      <c r="C46" s="3"/>
      <c r="D46" s="3"/>
      <c r="E46" s="3"/>
    </row>
    <row r="47" spans="1:5" x14ac:dyDescent="0.3">
      <c r="B47" s="2" t="s">
        <v>47</v>
      </c>
      <c r="C47" s="3"/>
      <c r="D47" s="3"/>
      <c r="E47" s="3"/>
    </row>
    <row r="48" spans="1:5" x14ac:dyDescent="0.3">
      <c r="B48" s="2" t="s">
        <v>48</v>
      </c>
      <c r="C48" s="3"/>
      <c r="D48" s="3"/>
      <c r="E48" s="3"/>
    </row>
    <row r="49" spans="1:5" x14ac:dyDescent="0.3">
      <c r="B49" s="2" t="s">
        <v>49</v>
      </c>
      <c r="C49" s="3"/>
      <c r="D49" s="3"/>
      <c r="E49" s="3"/>
    </row>
    <row r="50" spans="1:5" x14ac:dyDescent="0.3">
      <c r="B50" s="2" t="s">
        <v>50</v>
      </c>
      <c r="C50" s="3"/>
      <c r="D50" s="3"/>
      <c r="E50" s="3"/>
    </row>
    <row r="51" spans="1:5" x14ac:dyDescent="0.3">
      <c r="B51" s="2" t="s">
        <v>51</v>
      </c>
      <c r="C51" s="3"/>
      <c r="D51" s="3"/>
      <c r="E51" s="3"/>
    </row>
    <row r="52" spans="1:5" x14ac:dyDescent="0.3">
      <c r="B52" s="8" t="s">
        <v>52</v>
      </c>
      <c r="C52" s="9"/>
      <c r="D52" s="3"/>
      <c r="E52" s="3"/>
    </row>
    <row r="53" spans="1:5" x14ac:dyDescent="0.3">
      <c r="B53" s="8" t="s">
        <v>53</v>
      </c>
      <c r="C53" s="3"/>
      <c r="D53" s="3"/>
      <c r="E53" s="3"/>
    </row>
    <row r="54" spans="1:5" x14ac:dyDescent="0.3">
      <c r="B54" s="2" t="s">
        <v>58</v>
      </c>
      <c r="C54" s="3"/>
      <c r="D54" s="3"/>
      <c r="E54" s="3"/>
    </row>
    <row r="55" spans="1:5" x14ac:dyDescent="0.3">
      <c r="B55" s="2" t="s">
        <v>59</v>
      </c>
      <c r="C55" s="3"/>
      <c r="D55" s="3"/>
      <c r="E55" s="3"/>
    </row>
    <row r="56" spans="1:5" x14ac:dyDescent="0.3">
      <c r="B56" s="2" t="s">
        <v>60</v>
      </c>
      <c r="C56" s="3"/>
      <c r="D56" s="3"/>
      <c r="E56" s="3"/>
    </row>
    <row r="57" spans="1:5" x14ac:dyDescent="0.3">
      <c r="B57" s="2" t="s">
        <v>45</v>
      </c>
      <c r="C57" s="3"/>
      <c r="D57" s="3"/>
      <c r="E57" s="3"/>
    </row>
    <row r="58" spans="1:5" x14ac:dyDescent="0.3">
      <c r="B58" s="4" t="s">
        <v>61</v>
      </c>
      <c r="C58" s="3"/>
      <c r="D58" s="3"/>
      <c r="E58" s="3"/>
    </row>
    <row r="59" spans="1:5" x14ac:dyDescent="0.3">
      <c r="B59" s="2" t="s">
        <v>62</v>
      </c>
      <c r="C59" s="3"/>
      <c r="D59" s="3"/>
      <c r="E59" s="3"/>
    </row>
    <row r="60" spans="1:5" x14ac:dyDescent="0.3">
      <c r="B60" s="2" t="s">
        <v>63</v>
      </c>
      <c r="C60" s="3"/>
      <c r="D60" s="3"/>
      <c r="E60" s="3"/>
    </row>
    <row r="61" spans="1:5" x14ac:dyDescent="0.3">
      <c r="A61" s="1">
        <v>10</v>
      </c>
      <c r="B61" s="6" t="s">
        <v>19</v>
      </c>
      <c r="C61" s="3"/>
      <c r="D61" s="3"/>
      <c r="E61" s="3"/>
    </row>
    <row r="62" spans="1:5" x14ac:dyDescent="0.3">
      <c r="B62" s="6" t="s">
        <v>64</v>
      </c>
      <c r="C62" s="3"/>
      <c r="D62" s="3"/>
      <c r="E62" s="3"/>
    </row>
    <row r="63" spans="1:5" x14ac:dyDescent="0.3">
      <c r="B63" s="2" t="s">
        <v>65</v>
      </c>
      <c r="C63" s="3"/>
      <c r="D63" s="3"/>
      <c r="E63" s="3"/>
    </row>
    <row r="64" spans="1:5" x14ac:dyDescent="0.3">
      <c r="B64" s="2" t="s">
        <v>66</v>
      </c>
      <c r="C64" s="3"/>
      <c r="D64" s="3"/>
      <c r="E64" s="3"/>
    </row>
    <row r="65" spans="1:5" x14ac:dyDescent="0.3">
      <c r="B65" s="2" t="s">
        <v>54</v>
      </c>
      <c r="C65" s="3"/>
      <c r="D65" s="3"/>
      <c r="E65" s="3"/>
    </row>
    <row r="66" spans="1:5" x14ac:dyDescent="0.3">
      <c r="B66" s="2" t="s">
        <v>67</v>
      </c>
      <c r="C66" s="3"/>
      <c r="D66" s="3"/>
      <c r="E66" s="3"/>
    </row>
    <row r="67" spans="1:5" x14ac:dyDescent="0.3">
      <c r="B67" s="2" t="s">
        <v>68</v>
      </c>
      <c r="C67" s="3"/>
      <c r="D67" s="3"/>
      <c r="E67" s="3"/>
    </row>
    <row r="68" spans="1:5" x14ac:dyDescent="0.3">
      <c r="B68" s="6" t="s">
        <v>69</v>
      </c>
      <c r="C68" s="3"/>
      <c r="D68" s="3"/>
      <c r="E68" s="3"/>
    </row>
    <row r="69" spans="1:5" x14ac:dyDescent="0.3">
      <c r="B69" s="2" t="s">
        <v>45</v>
      </c>
      <c r="C69" s="3"/>
      <c r="D69" s="3"/>
      <c r="E69" s="3"/>
    </row>
    <row r="70" spans="1:5" x14ac:dyDescent="0.3">
      <c r="B70" s="2" t="s">
        <v>70</v>
      </c>
      <c r="C70" s="3"/>
      <c r="D70" s="3"/>
      <c r="E70" s="3"/>
    </row>
    <row r="71" spans="1:5" x14ac:dyDescent="0.3">
      <c r="B71" s="2" t="s">
        <v>71</v>
      </c>
      <c r="C71" s="3"/>
      <c r="D71" s="3"/>
      <c r="E71" s="3"/>
    </row>
    <row r="72" spans="1:5" x14ac:dyDescent="0.3">
      <c r="B72" s="2" t="s">
        <v>54</v>
      </c>
      <c r="C72" s="3"/>
      <c r="D72" s="3"/>
      <c r="E72" s="3"/>
    </row>
    <row r="73" spans="1:5" x14ac:dyDescent="0.3">
      <c r="B73" s="2" t="s">
        <v>72</v>
      </c>
      <c r="C73" s="3"/>
      <c r="D73" s="3"/>
      <c r="E73" s="3"/>
    </row>
    <row r="74" spans="1:5" x14ac:dyDescent="0.3">
      <c r="B74" s="6" t="s">
        <v>73</v>
      </c>
      <c r="D74" s="3"/>
      <c r="E74" s="3"/>
    </row>
    <row r="75" spans="1:5" x14ac:dyDescent="0.3">
      <c r="B75" s="2" t="s">
        <v>45</v>
      </c>
      <c r="C75" s="3"/>
      <c r="D75" s="3"/>
      <c r="E75" s="3"/>
    </row>
    <row r="76" spans="1:5" x14ac:dyDescent="0.3">
      <c r="B76" s="2" t="s">
        <v>70</v>
      </c>
      <c r="C76" s="3"/>
      <c r="D76" s="3"/>
      <c r="E76" s="3"/>
    </row>
    <row r="77" spans="1:5" x14ac:dyDescent="0.3">
      <c r="B77" s="2" t="s">
        <v>71</v>
      </c>
      <c r="C77" s="3"/>
      <c r="D77" s="3"/>
      <c r="E77" s="3"/>
    </row>
    <row r="78" spans="1:5" x14ac:dyDescent="0.3">
      <c r="B78" s="2" t="s">
        <v>54</v>
      </c>
      <c r="C78" s="3"/>
      <c r="D78" s="3"/>
      <c r="E78" s="3"/>
    </row>
    <row r="79" spans="1:5" x14ac:dyDescent="0.3">
      <c r="B79" s="2" t="s">
        <v>72</v>
      </c>
      <c r="C79" s="3"/>
      <c r="D79" s="3"/>
      <c r="E79" s="3"/>
    </row>
    <row r="80" spans="1:5" x14ac:dyDescent="0.3">
      <c r="A80" s="1">
        <v>11</v>
      </c>
      <c r="B80" s="6" t="s">
        <v>24</v>
      </c>
      <c r="C80" s="3"/>
      <c r="D80" s="3"/>
      <c r="E80" s="3"/>
    </row>
    <row r="81" spans="2:5" x14ac:dyDescent="0.3">
      <c r="B81" s="4" t="s">
        <v>25</v>
      </c>
      <c r="C81" s="3"/>
      <c r="D81" s="3"/>
      <c r="E81" s="3"/>
    </row>
    <row r="82" spans="2:5" x14ac:dyDescent="0.3">
      <c r="B82" s="2" t="s">
        <v>45</v>
      </c>
      <c r="C82" s="3"/>
      <c r="D82" s="3"/>
      <c r="E82" s="3"/>
    </row>
    <row r="83" spans="2:5" x14ac:dyDescent="0.3">
      <c r="B83" s="8" t="s">
        <v>74</v>
      </c>
      <c r="C83" s="11"/>
      <c r="D83" s="3"/>
      <c r="E83" s="3"/>
    </row>
    <row r="84" spans="2:5" x14ac:dyDescent="0.3">
      <c r="B84" s="8" t="s">
        <v>75</v>
      </c>
      <c r="C84" s="11"/>
      <c r="D84" s="3"/>
      <c r="E84" s="3"/>
    </row>
    <row r="85" spans="2:5" x14ac:dyDescent="0.3">
      <c r="B85" s="2" t="s">
        <v>76</v>
      </c>
      <c r="C85" s="3"/>
      <c r="D85" s="3"/>
      <c r="E85" s="3"/>
    </row>
    <row r="86" spans="2:5" x14ac:dyDescent="0.3">
      <c r="B86" s="2" t="s">
        <v>77</v>
      </c>
      <c r="C86" s="3"/>
      <c r="D86" s="3"/>
      <c r="E86" s="3"/>
    </row>
    <row r="87" spans="2:5" x14ac:dyDescent="0.3">
      <c r="B87" s="2" t="s">
        <v>78</v>
      </c>
      <c r="C87" s="3"/>
      <c r="D87" s="3"/>
      <c r="E87" s="3"/>
    </row>
    <row r="88" spans="2:5" x14ac:dyDescent="0.3">
      <c r="B88" s="2" t="s">
        <v>54</v>
      </c>
      <c r="C88" s="3"/>
      <c r="D88" s="3"/>
      <c r="E88" s="3"/>
    </row>
    <row r="89" spans="2:5" x14ac:dyDescent="0.3">
      <c r="B89" s="2" t="s">
        <v>79</v>
      </c>
      <c r="C89" s="3"/>
      <c r="D89" s="3"/>
      <c r="E89" s="3"/>
    </row>
    <row r="90" spans="2:5" x14ac:dyDescent="0.3">
      <c r="B90" s="2" t="s">
        <v>80</v>
      </c>
      <c r="C90" s="3"/>
      <c r="D90" s="3"/>
      <c r="E90" s="3"/>
    </row>
    <row r="91" spans="2:5" x14ac:dyDescent="0.3">
      <c r="B91" s="4" t="s">
        <v>26</v>
      </c>
      <c r="C91" s="3"/>
      <c r="D91" s="3"/>
      <c r="E91" s="3"/>
    </row>
    <row r="92" spans="2:5" x14ac:dyDescent="0.3">
      <c r="B92" s="2" t="s">
        <v>45</v>
      </c>
      <c r="C92" s="3"/>
      <c r="D92" s="3"/>
      <c r="E92" s="3"/>
    </row>
    <row r="93" spans="2:5" x14ac:dyDescent="0.3">
      <c r="B93" s="8" t="s">
        <v>74</v>
      </c>
      <c r="C93" s="11"/>
      <c r="D93" s="3"/>
      <c r="E93" s="3"/>
    </row>
    <row r="94" spans="2:5" x14ac:dyDescent="0.3">
      <c r="B94" s="8" t="s">
        <v>75</v>
      </c>
      <c r="C94" s="11"/>
      <c r="D94" s="3"/>
      <c r="E94" s="3"/>
    </row>
    <row r="95" spans="2:5" x14ac:dyDescent="0.3">
      <c r="B95" s="2" t="s">
        <v>76</v>
      </c>
      <c r="C95" s="3"/>
      <c r="D95" s="3"/>
      <c r="E95" s="3"/>
    </row>
    <row r="96" spans="2:5" x14ac:dyDescent="0.3">
      <c r="B96" s="2" t="s">
        <v>77</v>
      </c>
      <c r="C96" s="3"/>
      <c r="D96" s="3"/>
      <c r="E96" s="3"/>
    </row>
    <row r="97" spans="1:5" x14ac:dyDescent="0.3">
      <c r="B97" s="2" t="s">
        <v>78</v>
      </c>
      <c r="C97" s="3"/>
      <c r="D97" s="3"/>
      <c r="E97" s="3"/>
    </row>
    <row r="98" spans="1:5" x14ac:dyDescent="0.3">
      <c r="B98" s="2" t="s">
        <v>54</v>
      </c>
      <c r="C98" s="3"/>
      <c r="D98" s="3"/>
      <c r="E98" s="3"/>
    </row>
    <row r="99" spans="1:5" x14ac:dyDescent="0.3">
      <c r="B99" s="2" t="s">
        <v>79</v>
      </c>
      <c r="C99" s="3"/>
      <c r="D99" s="3"/>
      <c r="E99" s="3"/>
    </row>
    <row r="100" spans="1:5" x14ac:dyDescent="0.3">
      <c r="B100" s="2" t="s">
        <v>80</v>
      </c>
      <c r="C100" s="3"/>
      <c r="D100" s="3"/>
      <c r="E100" s="3"/>
    </row>
    <row r="101" spans="1:5" x14ac:dyDescent="0.3">
      <c r="A101" s="1">
        <v>12</v>
      </c>
      <c r="B101" s="6" t="s">
        <v>27</v>
      </c>
      <c r="C101" s="3"/>
      <c r="D101" s="3"/>
      <c r="E101" s="3"/>
    </row>
    <row r="102" spans="1:5" x14ac:dyDescent="0.3">
      <c r="B102" s="4" t="s">
        <v>28</v>
      </c>
      <c r="C102" s="3"/>
      <c r="D102" s="3"/>
      <c r="E102" s="3"/>
    </row>
    <row r="103" spans="1:5" x14ac:dyDescent="0.3">
      <c r="B103" s="2" t="s">
        <v>45</v>
      </c>
      <c r="C103" s="3"/>
      <c r="D103" s="3"/>
      <c r="E103" s="3"/>
    </row>
    <row r="104" spans="1:5" x14ac:dyDescent="0.3">
      <c r="B104" s="2" t="s">
        <v>81</v>
      </c>
      <c r="C104" s="3"/>
      <c r="D104" s="3"/>
      <c r="E104" s="3"/>
    </row>
    <row r="105" spans="1:5" x14ac:dyDescent="0.3">
      <c r="B105" s="2" t="s">
        <v>82</v>
      </c>
      <c r="C105" s="3"/>
      <c r="D105" s="3"/>
      <c r="E105" s="3"/>
    </row>
    <row r="106" spans="1:5" x14ac:dyDescent="0.3">
      <c r="B106" s="2" t="s">
        <v>78</v>
      </c>
      <c r="C106" s="3"/>
      <c r="D106" s="3"/>
      <c r="E106" s="3"/>
    </row>
    <row r="107" spans="1:5" x14ac:dyDescent="0.3">
      <c r="B107" s="2" t="s">
        <v>71</v>
      </c>
      <c r="C107" s="3"/>
      <c r="D107" s="3"/>
      <c r="E107" s="3"/>
    </row>
    <row r="108" spans="1:5" x14ac:dyDescent="0.3">
      <c r="B108" s="2" t="s">
        <v>54</v>
      </c>
      <c r="C108" s="3"/>
      <c r="D108" s="3"/>
      <c r="E108" s="3"/>
    </row>
    <row r="109" spans="1:5" x14ac:dyDescent="0.3">
      <c r="B109" s="2" t="s">
        <v>72</v>
      </c>
      <c r="C109" s="3"/>
      <c r="D109" s="3"/>
      <c r="E109" s="3"/>
    </row>
    <row r="110" spans="1:5" x14ac:dyDescent="0.3">
      <c r="B110" s="4" t="s">
        <v>29</v>
      </c>
      <c r="C110" s="3"/>
      <c r="D110" s="3"/>
      <c r="E110" s="3"/>
    </row>
    <row r="111" spans="1:5" x14ac:dyDescent="0.3">
      <c r="B111" s="2" t="s">
        <v>45</v>
      </c>
      <c r="C111" s="3"/>
      <c r="D111" s="3"/>
      <c r="E111" s="3"/>
    </row>
    <row r="112" spans="1:5" x14ac:dyDescent="0.3">
      <c r="B112" s="2" t="s">
        <v>81</v>
      </c>
      <c r="C112" s="3"/>
      <c r="D112" s="3"/>
      <c r="E112" s="3"/>
    </row>
    <row r="113" spans="2:5" x14ac:dyDescent="0.3">
      <c r="B113" s="2" t="s">
        <v>82</v>
      </c>
      <c r="C113" s="3"/>
      <c r="D113" s="3"/>
      <c r="E113" s="3"/>
    </row>
    <row r="114" spans="2:5" x14ac:dyDescent="0.3">
      <c r="B114" s="2" t="s">
        <v>78</v>
      </c>
      <c r="C114" s="3"/>
      <c r="D114" s="3"/>
      <c r="E114" s="3"/>
    </row>
    <row r="115" spans="2:5" x14ac:dyDescent="0.3">
      <c r="B115" s="2" t="s">
        <v>71</v>
      </c>
      <c r="C115" s="3"/>
      <c r="D115" s="3"/>
      <c r="E115" s="3"/>
    </row>
    <row r="116" spans="2:5" x14ac:dyDescent="0.3">
      <c r="B116" s="2" t="s">
        <v>54</v>
      </c>
      <c r="C116" s="3"/>
      <c r="D116" s="3"/>
      <c r="E116" s="3"/>
    </row>
    <row r="117" spans="2:5" x14ac:dyDescent="0.3">
      <c r="B117" s="2" t="s">
        <v>72</v>
      </c>
      <c r="C117" s="3"/>
      <c r="D117" s="3"/>
      <c r="E117" s="3"/>
    </row>
    <row r="118" spans="2:5" x14ac:dyDescent="0.3">
      <c r="B118" s="4" t="s">
        <v>30</v>
      </c>
      <c r="C118" s="3"/>
      <c r="D118" s="3"/>
      <c r="E118" s="3"/>
    </row>
    <row r="119" spans="2:5" x14ac:dyDescent="0.3">
      <c r="B119" s="2" t="s">
        <v>45</v>
      </c>
      <c r="C119" s="3"/>
      <c r="D119" s="3"/>
      <c r="E119" s="3"/>
    </row>
    <row r="120" spans="2:5" x14ac:dyDescent="0.3">
      <c r="B120" s="2" t="s">
        <v>81</v>
      </c>
      <c r="C120" s="9"/>
      <c r="D120" s="3"/>
      <c r="E120" s="3"/>
    </row>
    <row r="121" spans="2:5" x14ac:dyDescent="0.3">
      <c r="B121" s="2" t="s">
        <v>82</v>
      </c>
      <c r="C121" s="3"/>
      <c r="D121" s="3"/>
      <c r="E121" s="3"/>
    </row>
    <row r="122" spans="2:5" x14ac:dyDescent="0.3">
      <c r="B122" s="2" t="s">
        <v>78</v>
      </c>
      <c r="C122" s="3"/>
      <c r="D122" s="3"/>
      <c r="E122" s="3"/>
    </row>
    <row r="123" spans="2:5" x14ac:dyDescent="0.3">
      <c r="B123" s="2" t="s">
        <v>71</v>
      </c>
      <c r="C123" s="3"/>
      <c r="D123" s="3"/>
      <c r="E123" s="3"/>
    </row>
    <row r="124" spans="2:5" x14ac:dyDescent="0.3">
      <c r="B124" s="2" t="s">
        <v>54</v>
      </c>
      <c r="C124" s="3"/>
      <c r="D124" s="3"/>
      <c r="E124" s="3"/>
    </row>
    <row r="125" spans="2:5" x14ac:dyDescent="0.3">
      <c r="B125" s="2" t="s">
        <v>72</v>
      </c>
      <c r="C125" s="3"/>
      <c r="D125" s="3"/>
      <c r="E125" s="3"/>
    </row>
    <row r="126" spans="2:5" x14ac:dyDescent="0.3">
      <c r="B126" s="4" t="s">
        <v>31</v>
      </c>
      <c r="C126" s="3"/>
      <c r="D126" s="3"/>
      <c r="E126" s="3"/>
    </row>
    <row r="127" spans="2:5" x14ac:dyDescent="0.3">
      <c r="B127" s="2" t="s">
        <v>45</v>
      </c>
      <c r="C127" s="3"/>
      <c r="D127" s="3"/>
      <c r="E127" s="3"/>
    </row>
    <row r="128" spans="2:5" x14ac:dyDescent="0.3">
      <c r="B128" s="2" t="s">
        <v>81</v>
      </c>
      <c r="C128" s="3"/>
      <c r="D128" s="3"/>
      <c r="E128" s="3"/>
    </row>
    <row r="129" spans="2:5" x14ac:dyDescent="0.3">
      <c r="B129" s="2" t="s">
        <v>82</v>
      </c>
      <c r="C129" s="3"/>
      <c r="D129" s="3"/>
      <c r="E129" s="3"/>
    </row>
    <row r="130" spans="2:5" x14ac:dyDescent="0.3">
      <c r="B130" s="2" t="s">
        <v>78</v>
      </c>
      <c r="C130" s="3"/>
      <c r="D130" s="3"/>
      <c r="E130" s="3"/>
    </row>
    <row r="131" spans="2:5" x14ac:dyDescent="0.3">
      <c r="B131" s="2" t="s">
        <v>71</v>
      </c>
      <c r="C131" s="3"/>
      <c r="D131" s="3"/>
      <c r="E131" s="3"/>
    </row>
    <row r="132" spans="2:5" x14ac:dyDescent="0.3">
      <c r="B132" s="2" t="s">
        <v>54</v>
      </c>
      <c r="C132" s="3"/>
      <c r="D132" s="3"/>
      <c r="E132" s="3"/>
    </row>
    <row r="133" spans="2:5" x14ac:dyDescent="0.3">
      <c r="B133" s="2" t="s">
        <v>72</v>
      </c>
      <c r="C133" s="3"/>
      <c r="D133" s="3"/>
      <c r="E133" s="3"/>
    </row>
    <row r="134" spans="2:5" x14ac:dyDescent="0.3">
      <c r="B134" s="6" t="s">
        <v>32</v>
      </c>
      <c r="C134" s="3"/>
      <c r="D134" s="3"/>
      <c r="E134" s="3"/>
    </row>
    <row r="135" spans="2:5" x14ac:dyDescent="0.3">
      <c r="B135" s="4" t="s">
        <v>33</v>
      </c>
      <c r="C135" s="3"/>
      <c r="D135" s="3"/>
      <c r="E135" s="3"/>
    </row>
    <row r="136" spans="2:5" x14ac:dyDescent="0.3">
      <c r="B136" s="2" t="s">
        <v>45</v>
      </c>
      <c r="C136" s="3"/>
      <c r="D136" s="3"/>
      <c r="E136" s="3"/>
    </row>
    <row r="137" spans="2:5" x14ac:dyDescent="0.3">
      <c r="B137" s="2" t="s">
        <v>83</v>
      </c>
      <c r="C137" s="3"/>
      <c r="D137" s="3"/>
      <c r="E137" s="3"/>
    </row>
    <row r="138" spans="2:5" x14ac:dyDescent="0.3">
      <c r="B138" s="2" t="s">
        <v>84</v>
      </c>
      <c r="C138" s="3"/>
      <c r="D138" s="3"/>
      <c r="E138" s="3"/>
    </row>
    <row r="139" spans="2:5" x14ac:dyDescent="0.3">
      <c r="B139" s="8" t="s">
        <v>85</v>
      </c>
      <c r="C139" s="9"/>
      <c r="D139" s="3"/>
      <c r="E139" s="3"/>
    </row>
    <row r="140" spans="2:5" x14ac:dyDescent="0.3">
      <c r="B140" s="8" t="s">
        <v>86</v>
      </c>
      <c r="C140" s="9"/>
      <c r="D140" s="3"/>
      <c r="E140" s="3"/>
    </row>
    <row r="141" spans="2:5" x14ac:dyDescent="0.3">
      <c r="B141" s="2" t="s">
        <v>78</v>
      </c>
      <c r="C141" s="3"/>
      <c r="D141" s="3"/>
      <c r="E141" s="3"/>
    </row>
    <row r="142" spans="2:5" x14ac:dyDescent="0.3">
      <c r="B142" s="2" t="s">
        <v>54</v>
      </c>
      <c r="C142" s="3"/>
      <c r="D142" s="3"/>
      <c r="E142" s="3"/>
    </row>
    <row r="143" spans="2:5" x14ac:dyDescent="0.3">
      <c r="B143" s="2" t="s">
        <v>87</v>
      </c>
      <c r="C143" s="3"/>
      <c r="D143" s="3"/>
      <c r="E143" s="3"/>
    </row>
    <row r="144" spans="2:5" x14ac:dyDescent="0.3">
      <c r="B144" s="2" t="s">
        <v>88</v>
      </c>
      <c r="C144" s="3"/>
      <c r="D144" s="3"/>
      <c r="E144" s="3"/>
    </row>
    <row r="145" spans="2:5" x14ac:dyDescent="0.3">
      <c r="B145" s="2" t="s">
        <v>89</v>
      </c>
      <c r="C145" s="11"/>
      <c r="D145" s="3"/>
      <c r="E145" s="3"/>
    </row>
    <row r="146" spans="2:5" x14ac:dyDescent="0.3">
      <c r="B146" s="2" t="s">
        <v>90</v>
      </c>
      <c r="C146" s="3"/>
      <c r="D146" s="3"/>
      <c r="E146" s="3"/>
    </row>
    <row r="147" spans="2:5" x14ac:dyDescent="0.3">
      <c r="B147" s="6" t="s">
        <v>34</v>
      </c>
      <c r="C147" s="3"/>
      <c r="D147" s="3"/>
      <c r="E147" s="3"/>
    </row>
    <row r="148" spans="2:5" x14ac:dyDescent="0.3">
      <c r="B148" s="2" t="s">
        <v>45</v>
      </c>
      <c r="C148" s="3"/>
      <c r="D148" s="3"/>
      <c r="E148" s="3"/>
    </row>
    <row r="149" spans="2:5" x14ac:dyDescent="0.3">
      <c r="B149" s="8" t="s">
        <v>85</v>
      </c>
      <c r="C149" s="9"/>
      <c r="D149" s="3"/>
      <c r="E149" s="3"/>
    </row>
    <row r="150" spans="2:5" x14ac:dyDescent="0.3">
      <c r="B150" s="8" t="s">
        <v>86</v>
      </c>
      <c r="C150" s="9"/>
      <c r="D150" s="3"/>
      <c r="E150" s="3"/>
    </row>
    <row r="151" spans="2:5" x14ac:dyDescent="0.3">
      <c r="B151" s="2" t="s">
        <v>78</v>
      </c>
      <c r="C151" s="3"/>
      <c r="D151" s="3"/>
      <c r="E151" s="3"/>
    </row>
    <row r="152" spans="2:5" x14ac:dyDescent="0.3">
      <c r="B152" s="2" t="s">
        <v>54</v>
      </c>
      <c r="C152" s="3"/>
      <c r="D152" s="3"/>
      <c r="E152" s="3"/>
    </row>
    <row r="153" spans="2:5" x14ac:dyDescent="0.3">
      <c r="B153" s="10" t="s">
        <v>91</v>
      </c>
      <c r="C153" s="3"/>
      <c r="D153" s="3"/>
      <c r="E153" s="3"/>
    </row>
    <row r="154" spans="2:5" x14ac:dyDescent="0.3">
      <c r="B154" s="10" t="s">
        <v>92</v>
      </c>
      <c r="C154" s="3"/>
      <c r="D154" s="3"/>
      <c r="E154" s="3"/>
    </row>
    <row r="155" spans="2:5" x14ac:dyDescent="0.3">
      <c r="B155" s="2" t="s">
        <v>93</v>
      </c>
      <c r="C155" s="11"/>
      <c r="D155" s="3"/>
      <c r="E155" s="3"/>
    </row>
  </sheetData>
  <mergeCells count="7">
    <mergeCell ref="I3:J3"/>
    <mergeCell ref="A5:A6"/>
    <mergeCell ref="A7:A10"/>
    <mergeCell ref="A12:A15"/>
    <mergeCell ref="C3:D3"/>
    <mergeCell ref="E3:F3"/>
    <mergeCell ref="G3:H3"/>
  </mergeCells>
  <pageMargins left="0.7" right="0.7" top="1.6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2026-07-31T16:25:38Z</dcterms:modified>
</cp:coreProperties>
</file>